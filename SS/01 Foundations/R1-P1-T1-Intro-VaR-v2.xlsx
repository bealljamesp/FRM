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beall\Documents\FRM\SS\01 Foundations\"/>
    </mc:Choice>
  </mc:AlternateContent>
  <xr:revisionPtr revIDLastSave="0" documentId="8_{4DDCF27E-21C7-47FE-A56C-006AC9136932}" xr6:coauthVersionLast="47" xr6:coauthVersionMax="47" xr10:uidLastSave="{00000000-0000-0000-0000-000000000000}"/>
  <bookViews>
    <workbookView xWindow="-28920" yWindow="-120" windowWidth="29040" windowHeight="17520" activeTab="1" xr2:uid="{00000000-000D-0000-FFFF-FFFF00000000}"/>
  </bookViews>
  <sheets>
    <sheet name="R1-TOC" sheetId="15" r:id="rId1"/>
    <sheet name="T1.1-IntroVar(1and2assets)" sheetId="1" r:id="rId2"/>
    <sheet name="T1.1-autocorrelated-returns" sheetId="3" r:id="rId3"/>
    <sheet name="T1.1-HSVaR" sheetId="2" r:id="rId4"/>
    <sheet name="T1.1.A-WACC" sheetId="5" r:id="rId5"/>
    <sheet name="T1.1.A-WACC-2" sheetId="6" r:id="rId6"/>
    <sheet name="BT 302.1" sheetId="12" r:id="rId7"/>
  </sheets>
  <externalReferences>
    <externalReference r:id="rId8"/>
    <externalReference r:id="rId9"/>
    <externalReference r:id="rId10"/>
  </externalReferences>
  <definedNames>
    <definedName name="___INDEX_SHEET___ASAP_Utilities">'R1-TOC'!$A$1</definedName>
    <definedName name="auto_rho" localSheetId="2">#REF!</definedName>
    <definedName name="auto_rho">#REF!</definedName>
    <definedName name="autocorrelation" localSheetId="2">'T1.1-autocorrelated-returns'!$C$10</definedName>
    <definedName name="autocorrelation" localSheetId="1">'T1.1-IntroVar(1and2assets)'!#REF!</definedName>
    <definedName name="autocorrelation">'T1.1-HSVaR'!#REF!</definedName>
    <definedName name="Beta">[1]SML!$D$29:$J$29</definedName>
    <definedName name="bond_compute_handler">bond_compute_handler</definedName>
    <definedName name="Bond_Display_Tree">Bond_Display_Tree</definedName>
    <definedName name="bond_graph_handler">bond_graph_handler</definedName>
    <definedName name="bond_graph_input_formatter">bond_graph_input_formatter</definedName>
    <definedName name="Bond_Option_Select">Bond_Option_Select</definedName>
    <definedName name="Cap_or_Swap_Option_Select">Cap_or_Swap_Option_Select</definedName>
    <definedName name="Cap_or_Swap_Select">Cap_or_Swap_Select</definedName>
    <definedName name="confidence" localSheetId="2">'T1.1-autocorrelated-returns'!$C$7</definedName>
    <definedName name="confidence" localSheetId="1">'T1.1-IntroVar(1and2assets)'!#REF!</definedName>
    <definedName name="confidence">'T1.1-HSVaR'!$D$5</definedName>
    <definedName name="correlation" localSheetId="2">#REF!</definedName>
    <definedName name="correlation">#REF!</definedName>
    <definedName name="down_deviation">'[2]1b.4.Sortino'!$K$6</definedName>
    <definedName name="Equity_compute_handler">Equity_compute_handler</definedName>
    <definedName name="Equity_Display_Tree">Equity_Display_Tree</definedName>
    <definedName name="Equity_graph_handler">Equity_graph_handler</definedName>
    <definedName name="Equity_graph_input_formatter">Equity_graph_input_formatter</definedName>
    <definedName name="Equity_Option_Select">Equity_Option_Select</definedName>
    <definedName name="Equity_Underlying_Select">Equity_Underlying_Select</definedName>
    <definedName name="ERP">[1]SML!$D$22</definedName>
    <definedName name="erp_">'[2]1a.2.Stulz(HedgeIrrelev)'!$C$6</definedName>
    <definedName name="forward">'[2]1a.2.Stulz(HedgeIrrelev)'!$C$7</definedName>
    <definedName name="h" localSheetId="2">#REF!</definedName>
    <definedName name="h">#REF!</definedName>
    <definedName name="h_1" localSheetId="2">#REF!</definedName>
    <definedName name="h_1">#REF!</definedName>
    <definedName name="horizon" localSheetId="2">'T1.1-autocorrelated-returns'!$C$9</definedName>
    <definedName name="horizon" localSheetId="1">'T1.1-IntroVar(1and2assets)'!#REF!</definedName>
    <definedName name="horizon">'T1.1-HSVaR'!#REF!</definedName>
    <definedName name="Index_Sheet_Kutools">#REF!</definedName>
    <definedName name="IR">'[2]1b.3.RAPMs'!$D$19</definedName>
    <definedName name="MAR">'[2]1b.4.Sortino'!$K$3</definedName>
    <definedName name="MarketReturn">[3]RAPM_v1!$H$9</definedName>
    <definedName name="n">'T1.1-HSVaR'!$I$5</definedName>
    <definedName name="PortReturn">[3]RAPM_v1!$D$4</definedName>
    <definedName name="PortVolatility">[3]RAPM_v1!$D$5</definedName>
    <definedName name="return_a" localSheetId="2">#REF!</definedName>
    <definedName name="return_a">#REF!</definedName>
    <definedName name="return_b" localSheetId="2">#REF!</definedName>
    <definedName name="return_b">#REF!</definedName>
    <definedName name="return_p">'[2]1b.4.Sortino'!$O$5</definedName>
    <definedName name="rf_rate">[1]SML!$D$2</definedName>
    <definedName name="rho">'[2]1b.4.Sortino'!$O$6</definedName>
    <definedName name="riskfree">'[2]1b.4.Sortino'!$K$2</definedName>
    <definedName name="riskfree_">'[2]1a.2.Stulz(HedgeIrrelev)'!$C$5</definedName>
    <definedName name="riskfree_rate">[3]RAPM_v1!$H$4</definedName>
    <definedName name="sigma" localSheetId="2">'T1.1-autocorrelated-returns'!$C$6</definedName>
    <definedName name="sigma" localSheetId="1">'T1.1-IntroVar(1and2assets)'!#REF!</definedName>
    <definedName name="sigma">'T1.1-HSVaR'!$D$4</definedName>
    <definedName name="sigma_a" localSheetId="2">#REF!</definedName>
    <definedName name="sigma_a">#REF!</definedName>
    <definedName name="sigma_b" localSheetId="2">#REF!</definedName>
    <definedName name="sigma_b">#REF!</definedName>
    <definedName name="significance" localSheetId="2">'T1.1-autocorrelated-returns'!$C$8</definedName>
    <definedName name="significance" localSheetId="1">'T1.1-IntroVar(1and2assets)'!#REF!</definedName>
    <definedName name="significance">'T1.1-HSVaR'!$D$6</definedName>
    <definedName name="step" localSheetId="2">#REF!</definedName>
    <definedName name="step">#REF!</definedName>
    <definedName name="step_">'[2]1a.2.Stulz(CDF)'!$C$9</definedName>
    <definedName name="swap_compute_handler">swap_compute_handler</definedName>
    <definedName name="swap_graph_handler">swap_graph_handler</definedName>
    <definedName name="swap_graph_input_formatter">swap_graph_input_formatter</definedName>
    <definedName name="T">[3]RAPM_v1!$D$8</definedName>
    <definedName name="TE">[3]RAPM_v1!$D$7</definedName>
    <definedName name="variance_a" localSheetId="2">#REF!</definedName>
    <definedName name="variance_a">#REF!</definedName>
    <definedName name="variance_b" localSheetId="2">#REF!</definedName>
    <definedName name="variance_b">#REF!</definedName>
    <definedName name="variance_market" localSheetId="2">#REF!</definedName>
    <definedName name="variance_market">#REF!</definedName>
    <definedName name="vol_b">'[2]1b.4.Sortino'!$P$4</definedName>
    <definedName name="vol_p">'[2]1b.4.Sortino'!$P$5</definedName>
    <definedName name="window">'T1.1-HSVaR'!$C$9:$C$28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3" l="1"/>
  <c r="D11" i="3"/>
  <c r="C11" i="3"/>
  <c r="E18" i="3"/>
  <c r="E19" i="3" s="1"/>
  <c r="E20" i="3" s="1"/>
  <c r="E14" i="3"/>
  <c r="E15" i="3" s="1"/>
  <c r="E8" i="3"/>
  <c r="D18" i="3"/>
  <c r="D19" i="3" s="1"/>
  <c r="D20" i="3" s="1"/>
  <c r="D14" i="3"/>
  <c r="D15" i="3" s="1"/>
  <c r="D8" i="3"/>
  <c r="E15" i="12" l="1"/>
  <c r="D15" i="12"/>
  <c r="E12" i="12"/>
  <c r="D12" i="12"/>
  <c r="E6" i="12"/>
  <c r="E7" i="12" s="1"/>
  <c r="D6" i="12"/>
  <c r="D7" i="12" s="1"/>
  <c r="D17" i="12" s="1"/>
  <c r="E17" i="12" l="1"/>
  <c r="G20" i="6"/>
  <c r="G12" i="6"/>
  <c r="G14" i="6" s="1"/>
  <c r="G16" i="6" s="1"/>
  <c r="G10" i="6"/>
  <c r="N4" i="6"/>
  <c r="G20" i="5"/>
  <c r="G12" i="5"/>
  <c r="G14" i="5" s="1"/>
  <c r="G16" i="5" s="1"/>
  <c r="G9" i="5"/>
  <c r="G10" i="5" s="1"/>
  <c r="N4" i="5"/>
  <c r="G22" i="5" l="1"/>
  <c r="N5" i="5" s="1"/>
  <c r="N12" i="5"/>
  <c r="L14" i="5"/>
  <c r="L17" i="5"/>
  <c r="L13" i="5"/>
  <c r="L16" i="5"/>
  <c r="L12" i="5"/>
  <c r="L21" i="5"/>
  <c r="L10" i="5"/>
  <c r="L19" i="5"/>
  <c r="L15" i="5"/>
  <c r="L20" i="5"/>
  <c r="L11" i="5"/>
  <c r="L18" i="5"/>
  <c r="N14" i="5"/>
  <c r="G22" i="6"/>
  <c r="N5" i="6" s="1"/>
  <c r="N11" i="5"/>
  <c r="N15" i="5"/>
  <c r="N17" i="5"/>
  <c r="N21" i="5"/>
  <c r="N16" i="5"/>
  <c r="N18" i="5"/>
  <c r="N20" i="5"/>
  <c r="N13" i="5"/>
  <c r="N19" i="5"/>
  <c r="N10" i="5"/>
  <c r="P19" i="5" l="1"/>
  <c r="O19" i="5"/>
  <c r="L10" i="6"/>
  <c r="N11" i="6"/>
  <c r="L11" i="6"/>
  <c r="N12" i="6"/>
  <c r="L12" i="6"/>
  <c r="N10" i="6"/>
  <c r="O20" i="5"/>
  <c r="P20" i="5"/>
  <c r="O14" i="5"/>
  <c r="P14" i="5"/>
  <c r="L22" i="5"/>
  <c r="P18" i="5"/>
  <c r="O18" i="5"/>
  <c r="P11" i="5"/>
  <c r="O11" i="5"/>
  <c r="O13" i="5"/>
  <c r="P13" i="5"/>
  <c r="P16" i="5"/>
  <c r="O16" i="5"/>
  <c r="O21" i="5"/>
  <c r="P21" i="5"/>
  <c r="P17" i="5"/>
  <c r="O17" i="5"/>
  <c r="O10" i="5"/>
  <c r="P10" i="5"/>
  <c r="O15" i="5"/>
  <c r="P15" i="5"/>
  <c r="P12" i="5"/>
  <c r="O12" i="5"/>
  <c r="O10" i="6" l="1"/>
  <c r="P10" i="6"/>
  <c r="P12" i="6"/>
  <c r="O12" i="6"/>
  <c r="O11" i="6"/>
  <c r="P11" i="6"/>
  <c r="L13" i="6"/>
  <c r="O22" i="5"/>
  <c r="O13" i="6" l="1"/>
  <c r="D6" i="2" l="1"/>
  <c r="J9" i="2" s="1"/>
  <c r="C18" i="3"/>
  <c r="C19" i="3" s="1"/>
  <c r="C20" i="3" s="1"/>
  <c r="C14" i="3"/>
  <c r="C15" i="3" s="1"/>
  <c r="C8" i="3"/>
  <c r="C9" i="2"/>
  <c r="C11" i="2"/>
  <c r="C12" i="2"/>
  <c r="C10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11" i="1"/>
  <c r="F11" i="1"/>
  <c r="F19" i="1" s="1"/>
  <c r="F20" i="1" s="1"/>
  <c r="G18" i="1"/>
  <c r="F24" i="1" s="1"/>
  <c r="C20" i="1" l="1"/>
  <c r="C19" i="1"/>
  <c r="C18" i="1"/>
  <c r="C17" i="1"/>
  <c r="I9" i="2"/>
  <c r="D12" i="2"/>
  <c r="D11" i="2"/>
  <c r="D10" i="2"/>
  <c r="D28" i="2"/>
  <c r="D26" i="2"/>
  <c r="D18" i="2"/>
  <c r="D24" i="2"/>
  <c r="D21" i="2"/>
  <c r="D20" i="2"/>
  <c r="D19" i="2"/>
  <c r="D25" i="2"/>
  <c r="D17" i="2"/>
  <c r="D16" i="2"/>
  <c r="D13" i="2"/>
  <c r="D27" i="2"/>
  <c r="D23" i="2"/>
  <c r="D15" i="2"/>
  <c r="D22" i="2"/>
  <c r="D14" i="2"/>
  <c r="D9" i="2"/>
  <c r="F25" i="1"/>
  <c r="F26" i="1" s="1"/>
  <c r="F28" i="1" s="1"/>
  <c r="G19" i="1"/>
  <c r="G20" i="1" s="1"/>
  <c r="F27" i="1" s="1"/>
  <c r="I5" i="2"/>
  <c r="J10" i="2" l="1"/>
  <c r="I10" i="2"/>
  <c r="I6" i="2"/>
  <c r="I7" i="2"/>
  <c r="J11" i="2" l="1"/>
  <c r="I1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 Harper</author>
  </authors>
  <commentList>
    <comment ref="C18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David Harper:</t>
        </r>
        <r>
          <rPr>
            <sz val="9"/>
            <color indexed="81"/>
            <rFont val="Tahoma"/>
            <family val="2"/>
          </rPr>
          <t xml:space="preserve">
don't worry about this formula, the point is that autocorrelation increases the VaR</t>
        </r>
      </text>
    </comment>
    <comment ref="D18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David Harper:</t>
        </r>
        <r>
          <rPr>
            <sz val="9"/>
            <color indexed="81"/>
            <rFont val="Tahoma"/>
            <family val="2"/>
          </rPr>
          <t xml:space="preserve">
don't worry about this formula, the point is that autocorrelation increases the VaR</t>
        </r>
      </text>
    </comment>
    <comment ref="E18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David Harper:</t>
        </r>
        <r>
          <rPr>
            <sz val="9"/>
            <color indexed="81"/>
            <rFont val="Tahoma"/>
            <family val="2"/>
          </rPr>
          <t xml:space="preserve">
don't worry about this formula, the point is that autocorrelation increases the VaR</t>
        </r>
      </text>
    </comment>
  </commentList>
</comments>
</file>

<file path=xl/sharedStrings.xml><?xml version="1.0" encoding="utf-8"?>
<sst xmlns="http://schemas.openxmlformats.org/spreadsheetml/2006/main" count="179" uniqueCount="129">
  <si>
    <t>Portfolio VaR, horizon, $ (same)</t>
  </si>
  <si>
    <t>Portfolio VaR, horizon, $</t>
  </si>
  <si>
    <t>Portfolio VaR, annual, $</t>
  </si>
  <si>
    <t>Portfolio VaR, per annum, %</t>
  </si>
  <si>
    <t>Portfolio volatility, per annum, %</t>
  </si>
  <si>
    <t>If correlation = 1.0, then and only then, will the sum of individual VaRs = portfolio VaR.</t>
  </si>
  <si>
    <t>We need this to compute portfolio volatility. Imperfect correlation (&lt; 0) implies that portfolio VaR &lt; sum of individual VaRs!</t>
  </si>
  <si>
    <t>Individual VaR, horizon, $</t>
  </si>
  <si>
    <t>Asset B</t>
  </si>
  <si>
    <t>Apply the square root rule: multiply by SQRT(horizon/250), but his assumes i.i.d.</t>
  </si>
  <si>
    <t>Value at Risk (VaR), horizon, $</t>
  </si>
  <si>
    <t>Asset has an individual $VaR, per annum = (%Weight * Portfolio $Value) * volatility * deviate</t>
  </si>
  <si>
    <t>Individual VaR, per annum, $</t>
  </si>
  <si>
    <t>Value at Risk (VaR), horizon, %</t>
  </si>
  <si>
    <t>Portfolio Weight (w)</t>
  </si>
  <si>
    <t>Trading days per year</t>
  </si>
  <si>
    <t>Volatility (per year)</t>
  </si>
  <si>
    <t>Asset A</t>
  </si>
  <si>
    <t>Value at Risk (VaR), per annum, $</t>
  </si>
  <si>
    <t>Value at Risk (VaR), per annum, %</t>
  </si>
  <si>
    <t>Normal (one-tailed) deviate</t>
  </si>
  <si>
    <t>Volatility, per annum</t>
  </si>
  <si>
    <t>Portfolio Value ($)</t>
  </si>
  <si>
    <t>Asset Value ($)</t>
  </si>
  <si>
    <t>3. Autocorrelation is used to violate i.i.d.</t>
  </si>
  <si>
    <t>2. We have simplified by assuming mean return = 0</t>
  </si>
  <si>
    <t>Notes:</t>
  </si>
  <si>
    <t>VaR over horizon (with autocorr.)</t>
  </si>
  <si>
    <t>Standard deviation (with autocorr.)</t>
  </si>
  <si>
    <t xml:space="preserve">Scaling factor </t>
  </si>
  <si>
    <t>Extended over Target Horizon (autocorrelated)</t>
  </si>
  <si>
    <t>n-day VaR  (i.i.d)</t>
  </si>
  <si>
    <t>Standard deviation (i.i.d)</t>
  </si>
  <si>
    <t>Extended over Target Horizon (i.i.d)</t>
  </si>
  <si>
    <t>1-day Value at Risk (VaR)</t>
  </si>
  <si>
    <t>Autocorrelation</t>
  </si>
  <si>
    <t>Period</t>
  </si>
  <si>
    <t>Target Horizon (days)</t>
  </si>
  <si>
    <t>Significance Level, 1-c</t>
  </si>
  <si>
    <t>Confidence Level, c</t>
  </si>
  <si>
    <t>Standard Deviation (Volatility), Daily</t>
  </si>
  <si>
    <t>Historical Simulation (HS) VaR</t>
  </si>
  <si>
    <t>Parametric VaR</t>
  </si>
  <si>
    <t>Volatility (simulation)</t>
  </si>
  <si>
    <t>VaR Confidence Level, c</t>
  </si>
  <si>
    <t>T1.1-IntroVaR: Single-asset VaR and Two-asset Portfolio VaR</t>
  </si>
  <si>
    <t>T1.1-IntroVaR: Historical simulation</t>
  </si>
  <si>
    <t>Count (window), n=</t>
  </si>
  <si>
    <t>Weighted average cost of capital (WACC)</t>
  </si>
  <si>
    <t>Risk-free Rate</t>
  </si>
  <si>
    <t>Rf</t>
  </si>
  <si>
    <t>Risk-free rate (US T-bond)</t>
  </si>
  <si>
    <t>Cost of Capital (WACC)</t>
  </si>
  <si>
    <t>beta</t>
  </si>
  <si>
    <t>Beta (theme park business)</t>
  </si>
  <si>
    <t>Mature market risk premium</t>
  </si>
  <si>
    <t>Risk-adjusted</t>
  </si>
  <si>
    <t>Certainty-Equivalent</t>
  </si>
  <si>
    <t>Brazil premium</t>
  </si>
  <si>
    <t xml:space="preserve">Expected </t>
  </si>
  <si>
    <t>Present</t>
  </si>
  <si>
    <t>Certain Cash</t>
  </si>
  <si>
    <t>ERP</t>
  </si>
  <si>
    <t>Risk Premium</t>
  </si>
  <si>
    <t>Year</t>
  </si>
  <si>
    <t>Cash Flow</t>
  </si>
  <si>
    <t>Value (PV)</t>
  </si>
  <si>
    <t>Flows, CE(CF)</t>
  </si>
  <si>
    <t>CoE</t>
  </si>
  <si>
    <t>Cost of Equity, CoE=Rf + beta*ERP</t>
  </si>
  <si>
    <t>Risk-free rate</t>
  </si>
  <si>
    <t>Default spread</t>
  </si>
  <si>
    <t>CoD(pt)</t>
  </si>
  <si>
    <t>Cost of debt, pre-tax</t>
  </si>
  <si>
    <t>(t)</t>
  </si>
  <si>
    <t>Marginal tax rate</t>
  </si>
  <si>
    <t>CoD(at)</t>
  </si>
  <si>
    <t>Cost of debt, after-tax</t>
  </si>
  <si>
    <t>CoD(at)=CoD(pt)*(1-t)</t>
  </si>
  <si>
    <t>D(%)</t>
  </si>
  <si>
    <t>Capital structure, debt</t>
  </si>
  <si>
    <t>E(%)</t>
  </si>
  <si>
    <t>Capital structure, equity</t>
  </si>
  <si>
    <t>WACC</t>
  </si>
  <si>
    <t>Cost of capital</t>
  </si>
  <si>
    <t>NPV</t>
  </si>
  <si>
    <t xml:space="preserve">NPV </t>
  </si>
  <si>
    <t>WACC = E(%)*CoE + D(%)*CoD(at)</t>
  </si>
  <si>
    <t>T1.1-IntroVar(1and2assets)</t>
  </si>
  <si>
    <t>T1.1-autocorrelated-returns</t>
  </si>
  <si>
    <t>T1.1-HSVaR</t>
  </si>
  <si>
    <t>T1.1.A-WACC</t>
  </si>
  <si>
    <t>T1.1.A-WACC-2</t>
  </si>
  <si>
    <t>T1.1.A. WACC and Certainty-equivalent cash flows</t>
  </si>
  <si>
    <t>T1.1.A. WACC and Certainty-equivalent cash flows-version 2</t>
  </si>
  <si>
    <t>US Treasury bond</t>
  </si>
  <si>
    <t>risk premium</t>
  </si>
  <si>
    <t>COE</t>
  </si>
  <si>
    <t>pre-tax cost of debt</t>
  </si>
  <si>
    <t>marginal tax rate</t>
  </si>
  <si>
    <t>default spread</t>
  </si>
  <si>
    <t>after tax cost of debt</t>
  </si>
  <si>
    <t>% debt</t>
  </si>
  <si>
    <t>debt</t>
  </si>
  <si>
    <t>equity</t>
  </si>
  <si>
    <t>cost of capital</t>
  </si>
  <si>
    <t>https://www.bionicturtle.com/forum/threads/p1-t1-302-risk-adjusted-discount-rate.6680/</t>
  </si>
  <si>
    <t>BT 302.1</t>
  </si>
  <si>
    <t>Sheet index:</t>
  </si>
  <si>
    <t>Correlation, ρ(A,B)</t>
  </si>
  <si>
    <t>VaR horizon (days)</t>
  </si>
  <si>
    <t>VaR confidence level, c</t>
  </si>
  <si>
    <t>Left-hand panel is single-asset VaR. This assumes a normal distribution per =NORM.S.INV() but VaR does not require normality</t>
  </si>
  <si>
    <t>Right-hand panel is two-asset VaR. Requires a correlation parameter</t>
  </si>
  <si>
    <r>
      <t xml:space="preserve">Please note: input assumption are almost always </t>
    </r>
    <r>
      <rPr>
        <b/>
        <sz val="12"/>
        <color rgb="FFC00000"/>
        <rFont val="Calibri"/>
        <family val="2"/>
        <scheme val="minor"/>
      </rPr>
      <t>given in per annum</t>
    </r>
    <r>
      <rPr>
        <b/>
        <sz val="12"/>
        <rFont val="Calibri"/>
        <family val="2"/>
        <scheme val="minor"/>
      </rPr>
      <t xml:space="preserve"> term; e.g., 10.0% volatility per annum</t>
    </r>
  </si>
  <si>
    <t>Single-asset delta normal VaR</t>
  </si>
  <si>
    <t>Returns</t>
  </si>
  <si>
    <t>Raw</t>
  </si>
  <si>
    <t>Sorted</t>
  </si>
  <si>
    <t>1-day HS VaR, Excel %ile</t>
  </si>
  <si>
    <t>Dowd's VaR</t>
  </si>
  <si>
    <t>L. Allens VaR</t>
  </si>
  <si>
    <t>Worst loss</t>
  </si>
  <si>
    <t>2nd Worst loss</t>
  </si>
  <si>
    <t>1. Assumes a normal distribution, but does not need to be normal!</t>
  </si>
  <si>
    <t>T1.1-IntroVaR: Adds autocorrelation between returns</t>
  </si>
  <si>
    <t>Autocorrelation is a violation of the i.i.d. assumption</t>
  </si>
  <si>
    <t>E[return], per annum</t>
  </si>
  <si>
    <r>
      <t xml:space="preserve">Two-asset </t>
    </r>
    <r>
      <rPr>
        <b/>
        <sz val="12"/>
        <color rgb="FFC00000"/>
        <rFont val="Calibri"/>
        <family val="2"/>
        <scheme val="minor"/>
      </rPr>
      <t xml:space="preserve">Relative </t>
    </r>
    <r>
      <rPr>
        <b/>
        <sz val="12"/>
        <color theme="1"/>
        <rFont val="Calibri"/>
        <family val="2"/>
        <scheme val="minor"/>
      </rPr>
      <t xml:space="preserve">delta normal </t>
    </r>
    <r>
      <rPr>
        <b/>
        <sz val="12"/>
        <color theme="1"/>
        <rFont val="Calibri"/>
        <family val="2"/>
      </rPr>
      <t>¶</t>
    </r>
    <r>
      <rPr>
        <b/>
        <sz val="9.6"/>
        <color theme="1"/>
        <rFont val="Calibri"/>
        <family val="2"/>
      </rPr>
      <t xml:space="preserve"> </t>
    </r>
    <r>
      <rPr>
        <b/>
        <sz val="12"/>
        <color theme="1"/>
        <rFont val="Calibri"/>
        <family val="2"/>
        <scheme val="minor"/>
      </rPr>
      <t>VaR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</si>
</sst>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5" formatCode="&quot;$&quot;#,##0_);\(&quot;$&quot;#,##0\)"/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\$#,##0.00"/>
    <numFmt numFmtId="165" formatCode="#,##0.00\ ;&quot; (&quot;#,##0.00\);&quot; -&quot;#\ ;@\ "/>
    <numFmt numFmtId="166" formatCode="&quot;$&quot;#,##0.00"/>
    <numFmt numFmtId="167" formatCode="_(* #,##0_);_(* \(#,##0\);_(* &quot;-&quot;??_);_(@_)"/>
    <numFmt numFmtId="168" formatCode="0.0%"/>
    <numFmt numFmtId="169" formatCode="&quot;$&quot;#,##0.0"/>
    <numFmt numFmtId="170" formatCode="&quot;t - &quot;0"/>
    <numFmt numFmtId="171" formatCode="0.000%"/>
    <numFmt numFmtId="172" formatCode="&quot;(T)&quot;\ &quot;$&quot;#,##0_);\(&quot;$&quot;#,##0\)"/>
    <numFmt numFmtId="173" formatCode="0.0"/>
  </numFmts>
  <fonts count="22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u/>
      <sz val="11"/>
      <color theme="1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indexed="18"/>
      <name val="Arial"/>
      <family val="2"/>
    </font>
    <font>
      <sz val="10"/>
      <color indexed="18"/>
      <name val="Arial"/>
      <family val="2"/>
    </font>
    <font>
      <b/>
      <sz val="12"/>
      <color rgb="FFC00000"/>
      <name val="Calibri"/>
      <family val="2"/>
      <scheme val="minor"/>
    </font>
    <font>
      <b/>
      <sz val="12"/>
      <color theme="1"/>
      <name val="Calibri"/>
      <family val="2"/>
    </font>
    <font>
      <b/>
      <sz val="9.6"/>
      <color theme="1"/>
      <name val="Calibri"/>
      <family val="2"/>
    </font>
    <font>
      <i/>
      <sz val="1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dotted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dotted">
        <color indexed="64"/>
      </top>
      <bottom/>
      <diagonal/>
    </border>
  </borders>
  <cellStyleXfs count="1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3" fillId="0" borderId="0"/>
    <xf numFmtId="0" fontId="3" fillId="0" borderId="0"/>
    <xf numFmtId="0" fontId="2" fillId="0" borderId="0"/>
    <xf numFmtId="0" fontId="11" fillId="0" borderId="0" applyNumberForma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05">
    <xf numFmtId="0" fontId="0" fillId="0" borderId="0" xfId="0"/>
    <xf numFmtId="0" fontId="4" fillId="0" borderId="0" xfId="0" applyFont="1"/>
    <xf numFmtId="164" fontId="4" fillId="0" borderId="0" xfId="0" applyNumberFormat="1" applyFont="1"/>
    <xf numFmtId="0" fontId="5" fillId="0" borderId="0" xfId="0" applyFont="1"/>
    <xf numFmtId="164" fontId="5" fillId="2" borderId="0" xfId="0" applyNumberFormat="1" applyFont="1" applyFill="1"/>
    <xf numFmtId="10" fontId="5" fillId="2" borderId="0" xfId="2" applyNumberFormat="1" applyFont="1" applyFill="1"/>
    <xf numFmtId="43" fontId="4" fillId="0" borderId="0" xfId="1" applyFont="1"/>
    <xf numFmtId="0" fontId="5" fillId="0" borderId="1" xfId="0" applyFont="1" applyBorder="1"/>
    <xf numFmtId="10" fontId="5" fillId="2" borderId="0" xfId="2" quotePrefix="1" applyNumberFormat="1" applyFont="1" applyFill="1"/>
    <xf numFmtId="0" fontId="6" fillId="0" borderId="0" xfId="0" applyFont="1"/>
    <xf numFmtId="0" fontId="4" fillId="3" borderId="0" xfId="0" applyFont="1" applyFill="1"/>
    <xf numFmtId="0" fontId="5" fillId="3" borderId="0" xfId="0" applyFont="1" applyFill="1"/>
    <xf numFmtId="170" fontId="4" fillId="0" borderId="0" xfId="4" applyNumberFormat="1" applyFont="1" applyAlignment="1">
      <alignment horizontal="center"/>
    </xf>
    <xf numFmtId="0" fontId="4" fillId="0" borderId="0" xfId="4" applyFont="1" applyAlignment="1">
      <alignment horizontal="left"/>
    </xf>
    <xf numFmtId="10" fontId="7" fillId="0" borderId="0" xfId="2" applyNumberFormat="1" applyFont="1" applyAlignment="1">
      <alignment horizontal="right"/>
    </xf>
    <xf numFmtId="2" fontId="7" fillId="0" borderId="0" xfId="4" applyNumberFormat="1" applyFont="1" applyAlignment="1">
      <alignment horizontal="right"/>
    </xf>
    <xf numFmtId="0" fontId="5" fillId="0" borderId="0" xfId="4" applyFont="1" applyAlignment="1">
      <alignment horizontal="left"/>
    </xf>
    <xf numFmtId="0" fontId="7" fillId="0" borderId="0" xfId="4" applyFont="1" applyAlignment="1">
      <alignment horizontal="right"/>
    </xf>
    <xf numFmtId="0" fontId="4" fillId="0" borderId="0" xfId="0" quotePrefix="1" applyFont="1"/>
    <xf numFmtId="10" fontId="4" fillId="0" borderId="0" xfId="2" applyNumberFormat="1" applyFont="1"/>
    <xf numFmtId="10" fontId="4" fillId="0" borderId="0" xfId="2" applyNumberFormat="1" applyFont="1" applyAlignment="1">
      <alignment horizontal="right"/>
    </xf>
    <xf numFmtId="168" fontId="8" fillId="5" borderId="0" xfId="2" applyNumberFormat="1" applyFont="1" applyFill="1" applyAlignment="1">
      <alignment horizontal="right"/>
    </xf>
    <xf numFmtId="0" fontId="7" fillId="0" borderId="0" xfId="7" applyFont="1" applyAlignment="1">
      <alignment horizontal="right"/>
    </xf>
    <xf numFmtId="0" fontId="7" fillId="0" borderId="0" xfId="7" applyFont="1"/>
    <xf numFmtId="0" fontId="7" fillId="0" borderId="0" xfId="7" applyFont="1" applyAlignment="1">
      <alignment horizontal="center"/>
    </xf>
    <xf numFmtId="0" fontId="8" fillId="3" borderId="0" xfId="7" applyFont="1" applyFill="1"/>
    <xf numFmtId="0" fontId="7" fillId="3" borderId="0" xfId="7" applyFont="1" applyFill="1"/>
    <xf numFmtId="0" fontId="8" fillId="0" borderId="0" xfId="7" applyFont="1"/>
    <xf numFmtId="171" fontId="8" fillId="6" borderId="0" xfId="7" applyNumberFormat="1" applyFont="1" applyFill="1"/>
    <xf numFmtId="10" fontId="7" fillId="0" borderId="0" xfId="7" applyNumberFormat="1" applyFont="1"/>
    <xf numFmtId="0" fontId="7" fillId="0" borderId="0" xfId="7" quotePrefix="1" applyFont="1" applyAlignment="1">
      <alignment horizontal="right"/>
    </xf>
    <xf numFmtId="0" fontId="7" fillId="0" borderId="3" xfId="7" quotePrefix="1" applyFont="1" applyBorder="1" applyAlignment="1">
      <alignment horizontal="right"/>
    </xf>
    <xf numFmtId="10" fontId="8" fillId="6" borderId="0" xfId="7" applyNumberFormat="1" applyFont="1" applyFill="1"/>
    <xf numFmtId="0" fontId="8" fillId="6" borderId="0" xfId="7" applyFont="1" applyFill="1"/>
    <xf numFmtId="0" fontId="8" fillId="0" borderId="0" xfId="7" applyFont="1" applyAlignment="1">
      <alignment horizontal="right"/>
    </xf>
    <xf numFmtId="171" fontId="7" fillId="0" borderId="0" xfId="7" applyNumberFormat="1" applyFont="1"/>
    <xf numFmtId="0" fontId="7" fillId="0" borderId="3" xfId="7" applyFont="1" applyBorder="1"/>
    <xf numFmtId="10" fontId="8" fillId="6" borderId="0" xfId="8" applyNumberFormat="1" applyFont="1" applyFill="1"/>
    <xf numFmtId="0" fontId="8" fillId="3" borderId="2" xfId="7" applyFont="1" applyFill="1" applyBorder="1" applyAlignment="1">
      <alignment horizontal="centerContinuous"/>
    </xf>
    <xf numFmtId="10" fontId="8" fillId="0" borderId="4" xfId="7" applyNumberFormat="1" applyFont="1" applyBorder="1"/>
    <xf numFmtId="0" fontId="8" fillId="0" borderId="2" xfId="7" applyFont="1" applyBorder="1" applyAlignment="1">
      <alignment horizontal="center"/>
    </xf>
    <xf numFmtId="0" fontId="8" fillId="0" borderId="2" xfId="7" applyFont="1" applyBorder="1" applyAlignment="1">
      <alignment horizontal="right"/>
    </xf>
    <xf numFmtId="10" fontId="8" fillId="0" borderId="4" xfId="8" applyNumberFormat="1" applyFont="1" applyBorder="1"/>
    <xf numFmtId="5" fontId="7" fillId="0" borderId="0" xfId="9" applyNumberFormat="1" applyFont="1"/>
    <xf numFmtId="0" fontId="2" fillId="0" borderId="0" xfId="7"/>
    <xf numFmtId="10" fontId="8" fillId="0" borderId="0" xfId="7" applyNumberFormat="1" applyFont="1"/>
    <xf numFmtId="10" fontId="8" fillId="0" borderId="5" xfId="7" applyNumberFormat="1" applyFont="1" applyBorder="1"/>
    <xf numFmtId="168" fontId="8" fillId="6" borderId="0" xfId="7" applyNumberFormat="1" applyFont="1" applyFill="1"/>
    <xf numFmtId="10" fontId="8" fillId="0" borderId="0" xfId="8" applyNumberFormat="1" applyFont="1"/>
    <xf numFmtId="44" fontId="7" fillId="0" borderId="0" xfId="9" applyFont="1"/>
    <xf numFmtId="172" fontId="12" fillId="0" borderId="0" xfId="9" applyNumberFormat="1" applyFont="1"/>
    <xf numFmtId="171" fontId="8" fillId="3" borderId="5" xfId="8" applyNumberFormat="1" applyFont="1" applyFill="1" applyBorder="1"/>
    <xf numFmtId="5" fontId="8" fillId="3" borderId="4" xfId="7" applyNumberFormat="1" applyFont="1" applyFill="1" applyBorder="1"/>
    <xf numFmtId="171" fontId="8" fillId="0" borderId="0" xfId="7" applyNumberFormat="1" applyFont="1"/>
    <xf numFmtId="2" fontId="8" fillId="6" borderId="0" xfId="7" applyNumberFormat="1" applyFont="1" applyFill="1"/>
    <xf numFmtId="7" fontId="8" fillId="3" borderId="4" xfId="7" applyNumberFormat="1" applyFont="1" applyFill="1" applyBorder="1"/>
    <xf numFmtId="0" fontId="11" fillId="0" borderId="0" xfId="6"/>
    <xf numFmtId="10" fontId="13" fillId="4" borderId="0" xfId="10" applyNumberFormat="1" applyFont="1" applyFill="1"/>
    <xf numFmtId="0" fontId="13" fillId="4" borderId="0" xfId="10" applyFont="1" applyFill="1"/>
    <xf numFmtId="9" fontId="14" fillId="0" borderId="0" xfId="10" applyNumberFormat="1" applyFont="1"/>
    <xf numFmtId="0" fontId="1" fillId="0" borderId="0" xfId="10"/>
    <xf numFmtId="10" fontId="1" fillId="0" borderId="0" xfId="10" applyNumberFormat="1"/>
    <xf numFmtId="171" fontId="1" fillId="0" borderId="0" xfId="10" applyNumberFormat="1"/>
    <xf numFmtId="171" fontId="1" fillId="4" borderId="0" xfId="10" applyNumberFormat="1" applyFill="1"/>
    <xf numFmtId="9" fontId="1" fillId="4" borderId="0" xfId="10" applyNumberFormat="1" applyFill="1"/>
    <xf numFmtId="9" fontId="1" fillId="0" borderId="0" xfId="10" applyNumberFormat="1"/>
    <xf numFmtId="10" fontId="1" fillId="4" borderId="0" xfId="10" applyNumberFormat="1" applyFill="1"/>
    <xf numFmtId="10" fontId="15" fillId="0" borderId="0" xfId="11" applyNumberFormat="1" applyFont="1"/>
    <xf numFmtId="171" fontId="15" fillId="0" borderId="0" xfId="11" applyNumberFormat="1" applyFont="1"/>
    <xf numFmtId="0" fontId="16" fillId="0" borderId="0" xfId="0" applyFont="1"/>
    <xf numFmtId="0" fontId="17" fillId="0" borderId="0" xfId="0" applyFont="1"/>
    <xf numFmtId="0" fontId="11" fillId="0" borderId="0" xfId="6" quotePrefix="1"/>
    <xf numFmtId="168" fontId="4" fillId="0" borderId="0" xfId="2" applyNumberFormat="1" applyFont="1" applyAlignment="1">
      <alignment horizontal="right"/>
    </xf>
    <xf numFmtId="0" fontId="8" fillId="2" borderId="2" xfId="0" applyFont="1" applyFill="1" applyBorder="1"/>
    <xf numFmtId="0" fontId="7" fillId="2" borderId="2" xfId="0" applyFont="1" applyFill="1" applyBorder="1"/>
    <xf numFmtId="0" fontId="5" fillId="0" borderId="1" xfId="0" applyFont="1" applyBorder="1" applyAlignment="1">
      <alignment horizontal="right"/>
    </xf>
    <xf numFmtId="43" fontId="5" fillId="0" borderId="0" xfId="1" applyFont="1"/>
    <xf numFmtId="167" fontId="5" fillId="5" borderId="0" xfId="1" applyNumberFormat="1" applyFont="1" applyFill="1"/>
    <xf numFmtId="1" fontId="5" fillId="5" borderId="0" xfId="0" applyNumberFormat="1" applyFont="1" applyFill="1"/>
    <xf numFmtId="9" fontId="5" fillId="5" borderId="0" xfId="2" applyFont="1" applyFill="1"/>
    <xf numFmtId="169" fontId="5" fillId="5" borderId="0" xfId="0" applyNumberFormat="1" applyFont="1" applyFill="1"/>
    <xf numFmtId="168" fontId="5" fillId="5" borderId="0" xfId="2" applyNumberFormat="1" applyFont="1" applyFill="1"/>
    <xf numFmtId="9" fontId="5" fillId="5" borderId="0" xfId="0" applyNumberFormat="1" applyFont="1" applyFill="1"/>
    <xf numFmtId="165" fontId="5" fillId="5" borderId="0" xfId="3" applyFont="1" applyFill="1"/>
    <xf numFmtId="0" fontId="5" fillId="2" borderId="2" xfId="0" applyFont="1" applyFill="1" applyBorder="1"/>
    <xf numFmtId="0" fontId="4" fillId="2" borderId="2" xfId="0" applyFont="1" applyFill="1" applyBorder="1"/>
    <xf numFmtId="0" fontId="5" fillId="0" borderId="2" xfId="0" applyFont="1" applyBorder="1" applyAlignment="1">
      <alignment horizontal="center"/>
    </xf>
    <xf numFmtId="0" fontId="5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Continuous"/>
    </xf>
    <xf numFmtId="0" fontId="4" fillId="0" borderId="2" xfId="0" applyFont="1" applyBorder="1" applyAlignment="1">
      <alignment horizontal="centerContinuous"/>
    </xf>
    <xf numFmtId="10" fontId="5" fillId="0" borderId="0" xfId="2" quotePrefix="1" applyNumberFormat="1" applyFont="1" applyFill="1"/>
    <xf numFmtId="0" fontId="5" fillId="2" borderId="0" xfId="0" applyFont="1" applyFill="1"/>
    <xf numFmtId="0" fontId="4" fillId="2" borderId="0" xfId="0" applyFont="1" applyFill="1"/>
    <xf numFmtId="10" fontId="8" fillId="7" borderId="0" xfId="2" applyNumberFormat="1" applyFont="1" applyFill="1" applyAlignment="1">
      <alignment horizontal="right"/>
    </xf>
    <xf numFmtId="0" fontId="21" fillId="0" borderId="0" xfId="0" applyFont="1"/>
    <xf numFmtId="0" fontId="8" fillId="5" borderId="0" xfId="4" applyFont="1" applyFill="1" applyAlignment="1">
      <alignment horizontal="right"/>
    </xf>
    <xf numFmtId="173" fontId="8" fillId="5" borderId="0" xfId="4" applyNumberFormat="1" applyFont="1" applyFill="1" applyAlignment="1">
      <alignment horizontal="right"/>
    </xf>
    <xf numFmtId="168" fontId="5" fillId="0" borderId="0" xfId="2" applyNumberFormat="1" applyFont="1" applyAlignment="1">
      <alignment horizontal="right"/>
    </xf>
    <xf numFmtId="171" fontId="5" fillId="0" borderId="0" xfId="2" applyNumberFormat="1" applyFont="1" applyFill="1" applyBorder="1"/>
    <xf numFmtId="171" fontId="5" fillId="7" borderId="0" xfId="2" applyNumberFormat="1" applyFont="1" applyFill="1"/>
    <xf numFmtId="171" fontId="5" fillId="7" borderId="0" xfId="0" applyNumberFormat="1" applyFont="1" applyFill="1"/>
    <xf numFmtId="9" fontId="5" fillId="0" borderId="0" xfId="0" applyNumberFormat="1" applyFont="1"/>
    <xf numFmtId="164" fontId="5" fillId="0" borderId="0" xfId="0" applyNumberFormat="1" applyFont="1"/>
    <xf numFmtId="168" fontId="5" fillId="2" borderId="0" xfId="2" quotePrefix="1" applyNumberFormat="1" applyFont="1" applyFill="1"/>
    <xf numFmtId="166" fontId="5" fillId="2" borderId="0" xfId="2" quotePrefix="1" applyNumberFormat="1" applyFont="1" applyFill="1"/>
  </cellXfs>
  <cellStyles count="13">
    <cellStyle name="Comma" xfId="1" builtinId="3"/>
    <cellStyle name="Comma 2" xfId="3" xr:uid="{00000000-0005-0000-0000-000001000000}"/>
    <cellStyle name="Currency 2" xfId="9" xr:uid="{00000000-0005-0000-0000-000002000000}"/>
    <cellStyle name="Currency 3" xfId="12" xr:uid="{00000000-0005-0000-0000-000003000000}"/>
    <cellStyle name="Hyperlink" xfId="6" builtinId="8"/>
    <cellStyle name="Normal" xfId="0" builtinId="0"/>
    <cellStyle name="Normal 2" xfId="4" xr:uid="{00000000-0005-0000-0000-000006000000}"/>
    <cellStyle name="Normal 3" xfId="5" xr:uid="{00000000-0005-0000-0000-000007000000}"/>
    <cellStyle name="Normal 4" xfId="7" xr:uid="{00000000-0005-0000-0000-000008000000}"/>
    <cellStyle name="Normal 5" xfId="10" xr:uid="{00000000-0005-0000-0000-000009000000}"/>
    <cellStyle name="Percent" xfId="2" builtinId="5"/>
    <cellStyle name="Percent 2" xfId="11" xr:uid="{00000000-0005-0000-0000-00000B000000}"/>
    <cellStyle name="Percent 4" xfId="8" xr:uid="{00000000-0005-0000-0000-00000C000000}"/>
  </cellStyles>
  <dxfs count="0"/>
  <tableStyles count="0" defaultTableStyle="TableStyleMedium2" defaultPivotStyle="PivotStyleLight16"/>
  <colors>
    <mruColors>
      <color rgb="FFFFFFCC"/>
      <color rgb="FFFFFF99"/>
      <color rgb="FFFEF4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Simulated P/L over last 20 trading days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FF0000"/>
              </a:solidFill>
              <a:ln w="9525">
                <a:solidFill>
                  <a:schemeClr val="accent2">
                    <a:lumMod val="20000"/>
                    <a:lumOff val="80000"/>
                  </a:schemeClr>
                </a:solidFill>
              </a:ln>
              <a:effectLst/>
            </c:spPr>
          </c:marker>
          <c:xVal>
            <c:numRef>
              <c:f>'T1.1-HSVaR'!$B$9:$B$28</c:f>
              <c:numCache>
                <c:formatCode>"t - "0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'T1.1-HSVaR'!$C$9:$C$28</c:f>
              <c:numCache>
                <c:formatCode>0.00%</c:formatCode>
                <c:ptCount val="20"/>
                <c:pt idx="0">
                  <c:v>-6.4278469019770496E-3</c:v>
                </c:pt>
                <c:pt idx="1">
                  <c:v>-7.6336218814414703E-3</c:v>
                </c:pt>
                <c:pt idx="2">
                  <c:v>8.6220355698296159E-3</c:v>
                </c:pt>
                <c:pt idx="3">
                  <c:v>-1.2260400187253551E-3</c:v>
                </c:pt>
                <c:pt idx="4">
                  <c:v>1.5887484153923827E-3</c:v>
                </c:pt>
                <c:pt idx="5">
                  <c:v>9.9926025998835362E-4</c:v>
                </c:pt>
                <c:pt idx="6">
                  <c:v>-1.295452974642504E-3</c:v>
                </c:pt>
                <c:pt idx="7">
                  <c:v>2.0314634821721706E-2</c:v>
                </c:pt>
                <c:pt idx="8">
                  <c:v>-6.665977078950489E-4</c:v>
                </c:pt>
                <c:pt idx="9">
                  <c:v>1.0390106265415524E-2</c:v>
                </c:pt>
                <c:pt idx="10">
                  <c:v>-8.3406655565289051E-3</c:v>
                </c:pt>
                <c:pt idx="11">
                  <c:v>-9.3912355719994785E-3</c:v>
                </c:pt>
                <c:pt idx="12">
                  <c:v>-1.2280825769291051E-3</c:v>
                </c:pt>
                <c:pt idx="13">
                  <c:v>1.7187688564620433E-2</c:v>
                </c:pt>
                <c:pt idx="14">
                  <c:v>-1.4725430921510539E-2</c:v>
                </c:pt>
                <c:pt idx="15">
                  <c:v>-1.380910407868299E-2</c:v>
                </c:pt>
                <c:pt idx="16">
                  <c:v>9.6675000639854739E-3</c:v>
                </c:pt>
                <c:pt idx="17">
                  <c:v>1.18949963766027E-2</c:v>
                </c:pt>
                <c:pt idx="18">
                  <c:v>-5.2627703414215455E-3</c:v>
                </c:pt>
                <c:pt idx="19">
                  <c:v>5.224904884384658E-4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63-4E8F-971D-7674378BA5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5325432"/>
        <c:axId val="495326216"/>
      </c:scatterChart>
      <c:valAx>
        <c:axId val="495325432"/>
        <c:scaling>
          <c:orientation val="minMax"/>
          <c:max val="20"/>
        </c:scaling>
        <c:delete val="0"/>
        <c:axPos val="b"/>
        <c:numFmt formatCode="&quot;t - &quot;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326216"/>
        <c:crosses val="autoZero"/>
        <c:crossBetween val="midCat"/>
      </c:valAx>
      <c:valAx>
        <c:axId val="495326216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325432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12</xdr:row>
      <xdr:rowOff>0</xdr:rowOff>
    </xdr:from>
    <xdr:to>
      <xdr:col>12</xdr:col>
      <xdr:colOff>0</xdr:colOff>
      <xdr:row>28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</xdr:colOff>
      <xdr:row>5</xdr:row>
      <xdr:rowOff>68793</xdr:rowOff>
    </xdr:from>
    <xdr:to>
      <xdr:col>13</xdr:col>
      <xdr:colOff>419100</xdr:colOff>
      <xdr:row>21</xdr:row>
      <xdr:rowOff>125941</xdr:rowOff>
    </xdr:to>
    <xdr:cxnSp macro="">
      <xdr:nvCxnSpPr>
        <xdr:cNvPr id="2" name="Elbow Connector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CxnSpPr/>
      </xdr:nvCxnSpPr>
      <xdr:spPr>
        <a:xfrm flipV="1">
          <a:off x="4057650" y="868893"/>
          <a:ext cx="3257550" cy="3257548"/>
        </a:xfrm>
        <a:prstGeom prst="bentConnector3">
          <a:avLst>
            <a:gd name="adj1" fmla="val 15205"/>
          </a:avLst>
        </a:prstGeom>
        <a:ln w="19050">
          <a:solidFill>
            <a:schemeClr val="accent6">
              <a:lumMod val="7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</xdr:colOff>
      <xdr:row>5</xdr:row>
      <xdr:rowOff>68793</xdr:rowOff>
    </xdr:from>
    <xdr:to>
      <xdr:col>13</xdr:col>
      <xdr:colOff>419100</xdr:colOff>
      <xdr:row>21</xdr:row>
      <xdr:rowOff>125941</xdr:rowOff>
    </xdr:to>
    <xdr:cxnSp macro="">
      <xdr:nvCxnSpPr>
        <xdr:cNvPr id="2" name="Elbow Connector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CxnSpPr/>
      </xdr:nvCxnSpPr>
      <xdr:spPr>
        <a:xfrm flipV="1">
          <a:off x="4057650" y="868893"/>
          <a:ext cx="3257550" cy="3257548"/>
        </a:xfrm>
        <a:prstGeom prst="bentConnector3">
          <a:avLst>
            <a:gd name="adj1" fmla="val 15205"/>
          </a:avLst>
        </a:prstGeom>
        <a:ln w="19050">
          <a:solidFill>
            <a:schemeClr val="accent6">
              <a:lumMod val="7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avid\Dropbox\dh-library\_xls\_2009\1a\1_a_6_practicebag_v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ropbox\bt-content\FRM\FRM%20XLS\XLS-2012\T1\T1%202012%20XLS%20bundle_v090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avid%20Harper\Documents\_xls\invest\RAPM_v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actice_bag_1a"/>
      <sheetName val="Simple one-asset VaR"/>
      <sheetName val="CML"/>
      <sheetName val="SML"/>
      <sheetName val="SML_CAPM"/>
      <sheetName val="RAPMs"/>
      <sheetName val="Grinold 7.1 &amp; 7.2"/>
      <sheetName val="Sheet2"/>
    </sheetNames>
    <sheetDataSet>
      <sheetData sheetId="0"/>
      <sheetData sheetId="1">
        <row r="5">
          <cell r="C5">
            <v>0.01</v>
          </cell>
        </row>
      </sheetData>
      <sheetData sheetId="2">
        <row r="30">
          <cell r="K30">
            <v>0.1</v>
          </cell>
        </row>
      </sheetData>
      <sheetData sheetId="3">
        <row r="2">
          <cell r="D2">
            <v>7.0000000000000007E-2</v>
          </cell>
        </row>
        <row r="22">
          <cell r="D22">
            <v>5.1794872097691153E-2</v>
          </cell>
        </row>
        <row r="29">
          <cell r="D29">
            <v>-1.4820908808832704E-8</v>
          </cell>
          <cell r="E29">
            <v>0.579207911169212</v>
          </cell>
          <cell r="F29">
            <v>1.0618811828276458</v>
          </cell>
          <cell r="G29">
            <v>1</v>
          </cell>
          <cell r="H29">
            <v>1.5445544544860796</v>
          </cell>
          <cell r="I29">
            <v>2.0272277261445137</v>
          </cell>
          <cell r="J29">
            <v>2.5099009978029474</v>
          </cell>
        </row>
      </sheetData>
      <sheetData sheetId="4">
        <row r="6">
          <cell r="D6">
            <v>0.08</v>
          </cell>
        </row>
      </sheetData>
      <sheetData sheetId="5">
        <row r="19">
          <cell r="D19">
            <v>0.41025641004275859</v>
          </cell>
        </row>
      </sheetData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1a.1.IntroToVaR(2Assets)"/>
      <sheetName val="1a.1.IntroToVaR(HS)"/>
      <sheetName val="1a.2.Stulz(CDF)"/>
      <sheetName val="1a.2.Stulz(MV)"/>
      <sheetName val="1a.2.Stulz(HedgeIrrelev)"/>
      <sheetName val="1a.2.Stulz(bankruptcy)"/>
      <sheetName val="1a.2.Stulz(taxes)"/>
      <sheetName val="1a.2.Stulz(overhang)"/>
      <sheetName val="1b.1.CAPM (PP Curve)"/>
      <sheetName val="1b.1.CAPM(Market Portfolio)"/>
      <sheetName val="1b.1.CAPM(CML)"/>
      <sheetName val="1b.1.CAPM(SML)"/>
      <sheetName val="1b.2.APT(S&amp;P)"/>
      <sheetName val="1b.2.APT(Port)"/>
      <sheetName val="1b.2.APT(Grinold)"/>
      <sheetName val="1b.3.RAPMs"/>
      <sheetName val="1b.4.Sortino"/>
      <sheetName val="1b.5.PracticeBag"/>
    </sheetNames>
    <sheetDataSet>
      <sheetData sheetId="0"/>
      <sheetData sheetId="1"/>
      <sheetData sheetId="2"/>
      <sheetData sheetId="3">
        <row r="9">
          <cell r="C9">
            <v>0.1</v>
          </cell>
        </row>
      </sheetData>
      <sheetData sheetId="4"/>
      <sheetData sheetId="5">
        <row r="5">
          <cell r="C5">
            <v>0.05</v>
          </cell>
        </row>
        <row r="6">
          <cell r="C6">
            <v>0.06</v>
          </cell>
        </row>
        <row r="7">
          <cell r="C7">
            <v>350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9">
          <cell r="D19">
            <v>0.3333333333333332</v>
          </cell>
        </row>
      </sheetData>
      <sheetData sheetId="17">
        <row r="2">
          <cell r="K2">
            <v>0.04</v>
          </cell>
        </row>
        <row r="3">
          <cell r="K3">
            <v>0.05</v>
          </cell>
        </row>
        <row r="4">
          <cell r="P4">
            <v>0.1</v>
          </cell>
        </row>
        <row r="5">
          <cell r="O5">
            <v>0.08</v>
          </cell>
          <cell r="P5">
            <v>0.1</v>
          </cell>
        </row>
        <row r="6">
          <cell r="K6">
            <v>4.8555179198784722E-2</v>
          </cell>
          <cell r="O6">
            <v>0.5</v>
          </cell>
        </row>
      </sheetData>
      <sheetData sheetId="1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PM_v1"/>
      <sheetName val="RAPM_v1 (screen)"/>
    </sheetNames>
    <sheetDataSet>
      <sheetData sheetId="0">
        <row r="4">
          <cell r="D4">
            <v>0.14000000000000001</v>
          </cell>
          <cell r="H4">
            <v>0.04</v>
          </cell>
        </row>
        <row r="5">
          <cell r="D5">
            <v>0.3</v>
          </cell>
        </row>
        <row r="7">
          <cell r="D7">
            <v>0.03</v>
          </cell>
        </row>
        <row r="8">
          <cell r="D8">
            <v>5</v>
          </cell>
        </row>
        <row r="9">
          <cell r="H9">
            <v>0.10400000000000001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ionicturtle.com/forum/threads/p1-t1-302-risk-adjusted-discount-rate.668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workbookViewId="0">
      <selection activeCell="A2" sqref="A2"/>
    </sheetView>
  </sheetViews>
  <sheetFormatPr defaultRowHeight="12.75" x14ac:dyDescent="0.2"/>
  <cols>
    <col min="1" max="1" width="26.140625" style="70" bestFit="1" customWidth="1"/>
    <col min="2" max="16384" width="9.140625" style="70"/>
  </cols>
  <sheetData>
    <row r="1" spans="1:1" ht="15.75" x14ac:dyDescent="0.25">
      <c r="A1" s="69" t="s">
        <v>108</v>
      </c>
    </row>
    <row r="2" spans="1:1" ht="15" x14ac:dyDescent="0.25">
      <c r="A2" s="71" t="s">
        <v>88</v>
      </c>
    </row>
    <row r="3" spans="1:1" ht="15" x14ac:dyDescent="0.25">
      <c r="A3" s="71" t="s">
        <v>89</v>
      </c>
    </row>
    <row r="4" spans="1:1" ht="15" x14ac:dyDescent="0.25">
      <c r="A4" s="71" t="s">
        <v>90</v>
      </c>
    </row>
    <row r="5" spans="1:1" ht="15" x14ac:dyDescent="0.25">
      <c r="A5" s="71" t="s">
        <v>91</v>
      </c>
    </row>
    <row r="6" spans="1:1" ht="15" x14ac:dyDescent="0.25">
      <c r="A6" s="71" t="s">
        <v>92</v>
      </c>
    </row>
    <row r="7" spans="1:1" ht="15" x14ac:dyDescent="0.25">
      <c r="A7" s="71" t="s">
        <v>107</v>
      </c>
    </row>
  </sheetData>
  <hyperlinks>
    <hyperlink ref="A2" location="'T1.1-IntroVar(1and2assets)'!A1" display="'T1.1-IntroVar(1and2assets)'!A1" xr:uid="{00000000-0004-0000-0000-000000000000}"/>
    <hyperlink ref="A3" location="'T1.1-autocorrelated-returns'!A1" display="'T1.1-autocorrelated-returns'!A1" xr:uid="{00000000-0004-0000-0000-000001000000}"/>
    <hyperlink ref="A4" location="'T1.1-HSVaR'!A1" display="'T1.1-HSVaR'!A1" xr:uid="{00000000-0004-0000-0000-000002000000}"/>
    <hyperlink ref="A5" location="'T1.1.A-WACC'!A1" display="'T1.1.A-WACC'!A1" xr:uid="{00000000-0004-0000-0000-000003000000}"/>
    <hyperlink ref="A6" location="'T1.1.A-WACC-2'!A1" display="'T1.1.A-WACC-2'!A1" xr:uid="{00000000-0004-0000-0000-000004000000}"/>
    <hyperlink ref="A7" location="'BT 302.1'!A1" display="'BT 302.1'!A1" xr:uid="{00000000-0004-0000-0000-000005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40"/>
  <sheetViews>
    <sheetView showGridLines="0" tabSelected="1" zoomScale="90" zoomScaleNormal="90" workbookViewId="0">
      <selection activeCell="K6" sqref="K6"/>
    </sheetView>
  </sheetViews>
  <sheetFormatPr defaultRowHeight="15.75" x14ac:dyDescent="0.25"/>
  <cols>
    <col min="1" max="1" width="2.7109375" style="1" customWidth="1"/>
    <col min="2" max="2" width="33.7109375" style="1" customWidth="1"/>
    <col min="3" max="3" width="10.7109375" style="1" customWidth="1"/>
    <col min="4" max="4" width="3.7109375" style="1" customWidth="1"/>
    <col min="5" max="5" width="33.5703125" style="1" customWidth="1"/>
    <col min="6" max="6" width="10.7109375" style="1" customWidth="1"/>
    <col min="7" max="7" width="9.5703125" style="1" customWidth="1"/>
    <col min="8" max="8" width="2.7109375" style="1" customWidth="1"/>
    <col min="9" max="16384" width="9.140625" style="1"/>
  </cols>
  <sheetData>
    <row r="2" spans="2:7" s="10" customFormat="1" x14ac:dyDescent="0.25">
      <c r="B2" s="11" t="s">
        <v>45</v>
      </c>
    </row>
    <row r="3" spans="2:7" s="10" customFormat="1" x14ac:dyDescent="0.25">
      <c r="B3" s="11" t="s">
        <v>112</v>
      </c>
    </row>
    <row r="4" spans="2:7" s="10" customFormat="1" x14ac:dyDescent="0.25">
      <c r="B4" s="11" t="s">
        <v>113</v>
      </c>
    </row>
    <row r="5" spans="2:7" s="10" customFormat="1" x14ac:dyDescent="0.25">
      <c r="B5" s="11" t="s">
        <v>114</v>
      </c>
    </row>
    <row r="6" spans="2:7" x14ac:dyDescent="0.25">
      <c r="B6" s="9"/>
    </row>
    <row r="7" spans="2:7" x14ac:dyDescent="0.25">
      <c r="B7" s="84" t="s">
        <v>115</v>
      </c>
      <c r="C7" s="85"/>
      <c r="E7" s="73" t="s">
        <v>128</v>
      </c>
      <c r="F7" s="74"/>
    </row>
    <row r="8" spans="2:7" x14ac:dyDescent="0.25">
      <c r="B8" s="3" t="s">
        <v>15</v>
      </c>
      <c r="C8" s="77">
        <v>250</v>
      </c>
      <c r="E8" s="3" t="s">
        <v>15</v>
      </c>
      <c r="F8" s="77">
        <v>250</v>
      </c>
    </row>
    <row r="9" spans="2:7" x14ac:dyDescent="0.25">
      <c r="B9" s="3" t="s">
        <v>110</v>
      </c>
      <c r="C9" s="78">
        <v>1</v>
      </c>
      <c r="E9" s="3" t="s">
        <v>110</v>
      </c>
      <c r="F9" s="78">
        <v>1</v>
      </c>
    </row>
    <row r="10" spans="2:7" x14ac:dyDescent="0.25">
      <c r="B10" s="3" t="s">
        <v>111</v>
      </c>
      <c r="C10" s="79">
        <v>0.95</v>
      </c>
      <c r="E10" s="3" t="s">
        <v>111</v>
      </c>
      <c r="F10" s="79">
        <v>0.95</v>
      </c>
    </row>
    <row r="11" spans="2:7" x14ac:dyDescent="0.25">
      <c r="B11" s="3" t="s">
        <v>20</v>
      </c>
      <c r="C11" s="76">
        <f>_xlfn.NORM.S.INV(C10)</f>
        <v>1.6448536269514715</v>
      </c>
      <c r="E11" s="3" t="s">
        <v>20</v>
      </c>
      <c r="F11" s="76">
        <f>_xlfn.NORM.S.INV(F10)</f>
        <v>1.6448536269514715</v>
      </c>
    </row>
    <row r="13" spans="2:7" x14ac:dyDescent="0.25">
      <c r="B13" s="3" t="s">
        <v>23</v>
      </c>
      <c r="C13" s="80">
        <v>200</v>
      </c>
      <c r="E13" s="3" t="s">
        <v>22</v>
      </c>
      <c r="F13" s="80">
        <v>200</v>
      </c>
    </row>
    <row r="14" spans="2:7" x14ac:dyDescent="0.25">
      <c r="B14" s="3" t="s">
        <v>21</v>
      </c>
      <c r="C14" s="81">
        <v>0.1</v>
      </c>
    </row>
    <row r="15" spans="2:7" x14ac:dyDescent="0.25">
      <c r="B15" s="3" t="s">
        <v>127</v>
      </c>
      <c r="C15" s="81">
        <v>0</v>
      </c>
    </row>
    <row r="16" spans="2:7" x14ac:dyDescent="0.25">
      <c r="E16" s="7"/>
      <c r="F16" s="75" t="s">
        <v>17</v>
      </c>
      <c r="G16" s="75" t="s">
        <v>8</v>
      </c>
    </row>
    <row r="17" spans="2:9" x14ac:dyDescent="0.25">
      <c r="B17" s="3" t="s">
        <v>19</v>
      </c>
      <c r="C17" s="103">
        <f>-C15+C14*C11</f>
        <v>0.16448536269514716</v>
      </c>
      <c r="E17" s="1" t="s">
        <v>16</v>
      </c>
      <c r="F17" s="82">
        <v>0.1</v>
      </c>
      <c r="G17" s="82">
        <v>0.2</v>
      </c>
    </row>
    <row r="18" spans="2:9" x14ac:dyDescent="0.25">
      <c r="B18" s="3" t="s">
        <v>18</v>
      </c>
      <c r="C18" s="104">
        <f>C13*(-C15+C14*C11)</f>
        <v>32.897072539029431</v>
      </c>
      <c r="E18" s="1" t="s">
        <v>14</v>
      </c>
      <c r="F18" s="82">
        <v>0.5</v>
      </c>
      <c r="G18" s="101">
        <f>1-F18</f>
        <v>0.5</v>
      </c>
    </row>
    <row r="19" spans="2:9" x14ac:dyDescent="0.25">
      <c r="B19" s="3" t="s">
        <v>13</v>
      </c>
      <c r="C19" s="8">
        <f>-C15*(C9/C8)+C14*SQRT(C9/C8)*C11</f>
        <v>1.0402967757511143E-2</v>
      </c>
      <c r="E19" s="1" t="s">
        <v>12</v>
      </c>
      <c r="F19" s="102">
        <f>F13*F18*F17*F11</f>
        <v>16.448536269514715</v>
      </c>
      <c r="G19" s="102">
        <f>F13*G18*G17*F11</f>
        <v>32.897072539029431</v>
      </c>
      <c r="I19" s="94" t="s">
        <v>11</v>
      </c>
    </row>
    <row r="20" spans="2:9" x14ac:dyDescent="0.25">
      <c r="B20" s="3" t="s">
        <v>10</v>
      </c>
      <c r="C20" s="104">
        <f>C13*(-C15*(C9/C8)+C14*SQRT(C9/C8)*C11)</f>
        <v>2.0805935515022287</v>
      </c>
      <c r="E20" s="1" t="s">
        <v>7</v>
      </c>
      <c r="F20" s="4">
        <f>F19*SQRT($F$9/$C$8)</f>
        <v>1.0402967757511143</v>
      </c>
      <c r="G20" s="4">
        <f>G19*SQRT($F$9/$C$8)</f>
        <v>2.0805935515022287</v>
      </c>
      <c r="I20" s="94" t="s">
        <v>9</v>
      </c>
    </row>
    <row r="22" spans="2:9" x14ac:dyDescent="0.25">
      <c r="E22" s="3" t="s">
        <v>109</v>
      </c>
      <c r="F22" s="83">
        <v>0</v>
      </c>
      <c r="I22" s="94" t="s">
        <v>6</v>
      </c>
    </row>
    <row r="23" spans="2:9" x14ac:dyDescent="0.25">
      <c r="E23" s="3"/>
      <c r="F23" s="6"/>
      <c r="G23" s="6"/>
      <c r="I23" s="94" t="s">
        <v>5</v>
      </c>
    </row>
    <row r="24" spans="2:9" x14ac:dyDescent="0.25">
      <c r="E24" s="3" t="s">
        <v>4</v>
      </c>
      <c r="F24" s="8">
        <f>SQRT(F18^2*F17^2+G18^2*G17^2+2*F18*G18*F17*G17*F22)</f>
        <v>0.1118033988749895</v>
      </c>
      <c r="G24" s="90"/>
    </row>
    <row r="25" spans="2:9" x14ac:dyDescent="0.25">
      <c r="E25" s="3" t="s">
        <v>3</v>
      </c>
      <c r="F25" s="5">
        <f>F24*F11</f>
        <v>0.18390022614502854</v>
      </c>
      <c r="G25" s="6"/>
    </row>
    <row r="26" spans="2:9" x14ac:dyDescent="0.25">
      <c r="E26" s="3" t="s">
        <v>2</v>
      </c>
      <c r="F26" s="4">
        <f>F25*F13</f>
        <v>36.780045229005708</v>
      </c>
      <c r="G26" s="6"/>
    </row>
    <row r="27" spans="2:9" x14ac:dyDescent="0.25">
      <c r="E27" s="3" t="s">
        <v>1</v>
      </c>
      <c r="F27" s="4">
        <f>SQRT(F20^2+G20^2+2*F20*G20*F22)</f>
        <v>2.3261743073533467</v>
      </c>
      <c r="G27" s="6"/>
    </row>
    <row r="28" spans="2:9" x14ac:dyDescent="0.25">
      <c r="E28" s="3" t="s">
        <v>0</v>
      </c>
      <c r="F28" s="4">
        <f>F26*SQRT(F9/C8)</f>
        <v>2.3261743073533467</v>
      </c>
      <c r="G28" s="6"/>
    </row>
    <row r="40" spans="2:3" x14ac:dyDescent="0.25">
      <c r="B40" s="3"/>
      <c r="C40" s="2"/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E25"/>
  <sheetViews>
    <sheetView showGridLines="0" zoomScaleNormal="100" workbookViewId="0">
      <selection activeCell="A2" sqref="A2"/>
    </sheetView>
  </sheetViews>
  <sheetFormatPr defaultRowHeight="15.75" x14ac:dyDescent="0.25"/>
  <cols>
    <col min="1" max="1" width="2.7109375" style="1" customWidth="1"/>
    <col min="2" max="2" width="35.28515625" style="1" customWidth="1"/>
    <col min="3" max="16384" width="9.140625" style="1"/>
  </cols>
  <sheetData>
    <row r="2" spans="2:5" s="10" customFormat="1" x14ac:dyDescent="0.25">
      <c r="B2" s="11" t="s">
        <v>125</v>
      </c>
    </row>
    <row r="3" spans="2:5" s="10" customFormat="1" x14ac:dyDescent="0.25">
      <c r="B3" s="11" t="s">
        <v>126</v>
      </c>
    </row>
    <row r="4" spans="2:5" x14ac:dyDescent="0.25">
      <c r="B4" s="9"/>
    </row>
    <row r="5" spans="2:5" x14ac:dyDescent="0.25">
      <c r="B5" s="84" t="s">
        <v>42</v>
      </c>
      <c r="C5" s="85"/>
      <c r="D5" s="85"/>
      <c r="E5" s="85"/>
    </row>
    <row r="6" spans="2:5" x14ac:dyDescent="0.25">
      <c r="B6" s="13" t="s">
        <v>40</v>
      </c>
      <c r="C6" s="21">
        <v>0.01</v>
      </c>
      <c r="D6" s="21">
        <v>0.01</v>
      </c>
      <c r="E6" s="21">
        <v>0.01</v>
      </c>
    </row>
    <row r="7" spans="2:5" x14ac:dyDescent="0.25">
      <c r="B7" s="13" t="s">
        <v>39</v>
      </c>
      <c r="C7" s="21">
        <v>0.99</v>
      </c>
      <c r="D7" s="21">
        <v>0.99</v>
      </c>
      <c r="E7" s="21">
        <v>0.99</v>
      </c>
    </row>
    <row r="8" spans="2:5" x14ac:dyDescent="0.25">
      <c r="B8" s="13" t="s">
        <v>38</v>
      </c>
      <c r="C8" s="72">
        <f>1-C7</f>
        <v>1.0000000000000009E-2</v>
      </c>
      <c r="D8" s="72">
        <f>1-D7</f>
        <v>1.0000000000000009E-2</v>
      </c>
      <c r="E8" s="72">
        <f>1-E7</f>
        <v>1.0000000000000009E-2</v>
      </c>
    </row>
    <row r="9" spans="2:5" x14ac:dyDescent="0.25">
      <c r="B9" s="13" t="s">
        <v>37</v>
      </c>
      <c r="C9" s="95">
        <v>10</v>
      </c>
      <c r="D9" s="95">
        <v>10</v>
      </c>
      <c r="E9" s="95">
        <v>10</v>
      </c>
    </row>
    <row r="10" spans="2:5" x14ac:dyDescent="0.25">
      <c r="B10" s="13" t="s">
        <v>35</v>
      </c>
      <c r="C10" s="96">
        <v>0</v>
      </c>
      <c r="D10" s="96">
        <v>0.2</v>
      </c>
      <c r="E10" s="96">
        <v>-0.2</v>
      </c>
    </row>
    <row r="11" spans="2:5" x14ac:dyDescent="0.25">
      <c r="B11" s="16" t="s">
        <v>34</v>
      </c>
      <c r="C11" s="93">
        <f>_xlfn.NORM.S.INV(confidence)*sigma</f>
        <v>2.3263478740408409E-2</v>
      </c>
      <c r="D11" s="93">
        <f>_xlfn.NORM.S.INV(confidence)*sigma</f>
        <v>2.3263478740408409E-2</v>
      </c>
      <c r="E11" s="93">
        <f>_xlfn.NORM.S.INV(confidence)*sigma</f>
        <v>2.3263478740408409E-2</v>
      </c>
    </row>
    <row r="13" spans="2:5" x14ac:dyDescent="0.25">
      <c r="B13" s="16" t="s">
        <v>33</v>
      </c>
      <c r="C13" s="17"/>
      <c r="D13" s="17"/>
      <c r="E13" s="17"/>
    </row>
    <row r="14" spans="2:5" x14ac:dyDescent="0.25">
      <c r="B14" s="13" t="s">
        <v>32</v>
      </c>
      <c r="C14" s="14">
        <f>sigma*SQRT(horizon/1)</f>
        <v>3.1622776601683798E-2</v>
      </c>
      <c r="D14" s="14">
        <f>sigma*SQRT(horizon/1)</f>
        <v>3.1622776601683798E-2</v>
      </c>
      <c r="E14" s="14">
        <f>sigma*SQRT(horizon/1)</f>
        <v>3.1622776601683798E-2</v>
      </c>
    </row>
    <row r="15" spans="2:5" x14ac:dyDescent="0.25">
      <c r="B15" s="16" t="s">
        <v>31</v>
      </c>
      <c r="C15" s="93">
        <f>_xlfn.NORM.S.INV(confidence)*C14</f>
        <v>7.3565579118595542E-2</v>
      </c>
      <c r="D15" s="93">
        <f>_xlfn.NORM.S.INV(confidence)*D14</f>
        <v>7.3565579118595542E-2</v>
      </c>
      <c r="E15" s="93">
        <f>_xlfn.NORM.S.INV(confidence)*E14</f>
        <v>7.3565579118595542E-2</v>
      </c>
    </row>
    <row r="17" spans="2:5" x14ac:dyDescent="0.25">
      <c r="B17" s="16" t="s">
        <v>30</v>
      </c>
      <c r="C17" s="14"/>
      <c r="D17" s="14"/>
      <c r="E17" s="14"/>
    </row>
    <row r="18" spans="2:5" x14ac:dyDescent="0.25">
      <c r="B18" s="13" t="s">
        <v>29</v>
      </c>
      <c r="C18" s="15">
        <f>C9+2*(C10/(1-C10)^2)*((C9-1)*(1-C10)-C10*(1-C10^(C9-1)))</f>
        <v>10</v>
      </c>
      <c r="D18" s="15">
        <f>D9+2*(D10/(1-D10)^2)*((D9-1)*(1-D10)-D10*(1-D10^(D9-1)))</f>
        <v>14.375000064</v>
      </c>
      <c r="E18" s="15">
        <f>E9+2*(E10/(1-E10)^2)*((E9-1)*(1-E10)-E10*(1-E10^(E9-1)))</f>
        <v>6.9444444159999996</v>
      </c>
    </row>
    <row r="19" spans="2:5" x14ac:dyDescent="0.25">
      <c r="B19" s="13" t="s">
        <v>28</v>
      </c>
      <c r="C19" s="14">
        <f>C6*SQRT(C18)</f>
        <v>3.1622776601683798E-2</v>
      </c>
      <c r="D19" s="14">
        <f>D6*SQRT(D18)</f>
        <v>3.7914377304658457E-2</v>
      </c>
      <c r="E19" s="14">
        <f>E6*SQRT(E18)</f>
        <v>2.6352313780766953E-2</v>
      </c>
    </row>
    <row r="20" spans="2:5" x14ac:dyDescent="0.25">
      <c r="B20" s="13" t="s">
        <v>27</v>
      </c>
      <c r="C20" s="93">
        <f>_xlfn.NORM.S.INV(confidence)*C19</f>
        <v>7.3565579118595542E-2</v>
      </c>
      <c r="D20" s="93">
        <f>_xlfn.NORM.S.INV(confidence)*D19</f>
        <v>8.8202031038274509E-2</v>
      </c>
      <c r="E20" s="93">
        <f>_xlfn.NORM.S.INV(confidence)*E19</f>
        <v>6.130464913994435E-2</v>
      </c>
    </row>
    <row r="22" spans="2:5" x14ac:dyDescent="0.25">
      <c r="B22" s="91" t="s">
        <v>26</v>
      </c>
      <c r="C22" s="92"/>
    </row>
    <row r="23" spans="2:5" x14ac:dyDescent="0.25">
      <c r="B23" s="1" t="s">
        <v>124</v>
      </c>
    </row>
    <row r="24" spans="2:5" x14ac:dyDescent="0.25">
      <c r="B24" s="1" t="s">
        <v>25</v>
      </c>
    </row>
    <row r="25" spans="2:5" x14ac:dyDescent="0.25">
      <c r="B25" s="1" t="s">
        <v>24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J38"/>
  <sheetViews>
    <sheetView showGridLines="0" zoomScaleNormal="100" workbookViewId="0"/>
  </sheetViews>
  <sheetFormatPr defaultRowHeight="15.75" x14ac:dyDescent="0.25"/>
  <cols>
    <col min="1" max="1" width="2.7109375" style="1" customWidth="1"/>
    <col min="2" max="2" width="15.5703125" style="1" customWidth="1"/>
    <col min="3" max="4" width="10.140625" style="1" customWidth="1"/>
    <col min="5" max="5" width="2.7109375" style="1" customWidth="1"/>
    <col min="6" max="7" width="9.140625" style="1"/>
    <col min="8" max="8" width="9.140625" style="1" customWidth="1"/>
    <col min="9" max="9" width="9.140625" style="1"/>
    <col min="10" max="10" width="10.85546875" style="1" bestFit="1" customWidth="1"/>
    <col min="11" max="16384" width="9.140625" style="1"/>
  </cols>
  <sheetData>
    <row r="2" spans="2:10" s="10" customFormat="1" x14ac:dyDescent="0.25">
      <c r="B2" s="11" t="s">
        <v>46</v>
      </c>
      <c r="C2" s="11"/>
      <c r="D2" s="11"/>
    </row>
    <row r="3" spans="2:10" x14ac:dyDescent="0.25">
      <c r="B3" s="9"/>
      <c r="C3" s="9"/>
      <c r="D3" s="9"/>
    </row>
    <row r="4" spans="2:10" x14ac:dyDescent="0.25">
      <c r="B4" s="13" t="s">
        <v>43</v>
      </c>
      <c r="C4" s="13"/>
      <c r="D4" s="21">
        <v>0.01</v>
      </c>
      <c r="F4" s="91" t="s">
        <v>41</v>
      </c>
      <c r="G4" s="92"/>
      <c r="H4" s="92"/>
      <c r="I4" s="92"/>
    </row>
    <row r="5" spans="2:10" x14ac:dyDescent="0.25">
      <c r="B5" s="13" t="s">
        <v>44</v>
      </c>
      <c r="C5" s="13"/>
      <c r="D5" s="21">
        <v>0.95</v>
      </c>
      <c r="F5" s="1" t="s">
        <v>47</v>
      </c>
      <c r="I5" s="3">
        <f ca="1">COUNTA(C9:C28)</f>
        <v>20</v>
      </c>
    </row>
    <row r="6" spans="2:10" x14ac:dyDescent="0.25">
      <c r="B6" s="13" t="s">
        <v>38</v>
      </c>
      <c r="C6" s="13"/>
      <c r="D6" s="97">
        <f>1-D5</f>
        <v>5.0000000000000044E-2</v>
      </c>
      <c r="F6" s="1" t="s">
        <v>122</v>
      </c>
      <c r="I6" s="98">
        <f ca="1">SMALL(window,(1-confidence)*n)</f>
        <v>-1.4725430921510539E-2</v>
      </c>
    </row>
    <row r="7" spans="2:10" x14ac:dyDescent="0.25">
      <c r="C7" s="88" t="s">
        <v>116</v>
      </c>
      <c r="D7" s="89"/>
      <c r="F7" s="1" t="s">
        <v>123</v>
      </c>
      <c r="I7" s="98">
        <f ca="1">SMALL(window,(1-confidence)*n+1)</f>
        <v>-1.380910407868299E-2</v>
      </c>
      <c r="J7" s="18"/>
    </row>
    <row r="8" spans="2:10" x14ac:dyDescent="0.25">
      <c r="B8" s="86" t="s">
        <v>36</v>
      </c>
      <c r="C8" s="87" t="s">
        <v>117</v>
      </c>
      <c r="D8" s="87" t="s">
        <v>118</v>
      </c>
    </row>
    <row r="9" spans="2:10" x14ac:dyDescent="0.25">
      <c r="B9" s="12">
        <v>1</v>
      </c>
      <c r="C9" s="20">
        <f t="shared" ref="C9:C28" ca="1" si="0">NORMINV(RAND(),0,sigma)</f>
        <v>-6.4278469019770496E-3</v>
      </c>
      <c r="D9" s="20">
        <f t="shared" ref="D9:D28" ca="1" si="1">SMALL(window,B9)</f>
        <v>-1.4725430921510539E-2</v>
      </c>
      <c r="F9" s="3" t="s">
        <v>119</v>
      </c>
      <c r="I9" s="99">
        <f ca="1">PERCENTILE(window,significance)</f>
        <v>-1.3854920420824366E-2</v>
      </c>
      <c r="J9" s="1" t="str">
        <f>" =PERCENTILE(window, "&amp;TEXT(significance,"0.0%")&amp;")"</f>
        <v xml:space="preserve"> =PERCENTILE(window, 5.0%)</v>
      </c>
    </row>
    <row r="10" spans="2:10" x14ac:dyDescent="0.25">
      <c r="B10" s="12">
        <v>2</v>
      </c>
      <c r="C10" s="20">
        <f t="shared" ca="1" si="0"/>
        <v>-7.6336218814414703E-3</v>
      </c>
      <c r="D10" s="20">
        <f t="shared" ca="1" si="1"/>
        <v>-1.380910407868299E-2</v>
      </c>
      <c r="F10" s="3" t="s">
        <v>120</v>
      </c>
      <c r="I10" s="99">
        <f ca="1">SMALL(window,significance*n+1)</f>
        <v>-1.380910407868299E-2</v>
      </c>
      <c r="J10" s="1" t="str">
        <f ca="1">" =SMALL(window, "&amp;TEXT(significance,"0.0%")&amp;"*"&amp;TEXT(n,"0")&amp;"+1)"</f>
        <v xml:space="preserve"> =SMALL(window, 5.0%*20+1)</v>
      </c>
    </row>
    <row r="11" spans="2:10" x14ac:dyDescent="0.25">
      <c r="B11" s="12">
        <v>3</v>
      </c>
      <c r="C11" s="20">
        <f t="shared" ca="1" si="0"/>
        <v>8.6220355698296159E-3</v>
      </c>
      <c r="D11" s="20">
        <f t="shared" ca="1" si="1"/>
        <v>-9.3912355719994785E-3</v>
      </c>
      <c r="F11" s="3" t="s">
        <v>121</v>
      </c>
      <c r="I11" s="100">
        <f ca="1">AVERAGE(I6:I7)</f>
        <v>-1.4267267500096764E-2</v>
      </c>
      <c r="J11" s="1" t="str">
        <f ca="1">" =AVERAGE("&amp;TEXT(I6,"0.000%")&amp;", "&amp;TEXT(I7,"0.000%")&amp;")"</f>
        <v xml:space="preserve"> =AVERAGE(-1.473%, -1.381%)</v>
      </c>
    </row>
    <row r="12" spans="2:10" x14ac:dyDescent="0.25">
      <c r="B12" s="12">
        <v>4</v>
      </c>
      <c r="C12" s="20">
        <f t="shared" ca="1" si="0"/>
        <v>-1.2260400187253551E-3</v>
      </c>
      <c r="D12" s="20">
        <f t="shared" ca="1" si="1"/>
        <v>-8.3406655565289051E-3</v>
      </c>
    </row>
    <row r="13" spans="2:10" x14ac:dyDescent="0.25">
      <c r="B13" s="12">
        <v>5</v>
      </c>
      <c r="C13" s="20">
        <f t="shared" ca="1" si="0"/>
        <v>1.5887484153923827E-3</v>
      </c>
      <c r="D13" s="20">
        <f t="shared" ca="1" si="1"/>
        <v>-7.6336218814414703E-3</v>
      </c>
    </row>
    <row r="14" spans="2:10" x14ac:dyDescent="0.25">
      <c r="B14" s="12">
        <v>6</v>
      </c>
      <c r="C14" s="20">
        <f t="shared" ca="1" si="0"/>
        <v>9.9926025998835362E-4</v>
      </c>
      <c r="D14" s="20">
        <f t="shared" ca="1" si="1"/>
        <v>-6.4278469019770496E-3</v>
      </c>
    </row>
    <row r="15" spans="2:10" x14ac:dyDescent="0.25">
      <c r="B15" s="12">
        <v>7</v>
      </c>
      <c r="C15" s="20">
        <f t="shared" ca="1" si="0"/>
        <v>-1.295452974642504E-3</v>
      </c>
      <c r="D15" s="20">
        <f t="shared" ca="1" si="1"/>
        <v>-5.2627703414215455E-3</v>
      </c>
    </row>
    <row r="16" spans="2:10" x14ac:dyDescent="0.25">
      <c r="B16" s="12">
        <v>8</v>
      </c>
      <c r="C16" s="20">
        <f t="shared" ca="1" si="0"/>
        <v>2.0314634821721706E-2</v>
      </c>
      <c r="D16" s="20">
        <f t="shared" ca="1" si="1"/>
        <v>-1.295452974642504E-3</v>
      </c>
      <c r="I16" s="18"/>
    </row>
    <row r="17" spans="2:4" x14ac:dyDescent="0.25">
      <c r="B17" s="12">
        <v>9</v>
      </c>
      <c r="C17" s="20">
        <f t="shared" ca="1" si="0"/>
        <v>-6.665977078950489E-4</v>
      </c>
      <c r="D17" s="20">
        <f t="shared" ca="1" si="1"/>
        <v>-1.2280825769291051E-3</v>
      </c>
    </row>
    <row r="18" spans="2:4" x14ac:dyDescent="0.25">
      <c r="B18" s="12">
        <v>10</v>
      </c>
      <c r="C18" s="20">
        <f t="shared" ca="1" si="0"/>
        <v>1.0390106265415524E-2</v>
      </c>
      <c r="D18" s="20">
        <f t="shared" ca="1" si="1"/>
        <v>-1.2260400187253551E-3</v>
      </c>
    </row>
    <row r="19" spans="2:4" x14ac:dyDescent="0.25">
      <c r="B19" s="12">
        <v>11</v>
      </c>
      <c r="C19" s="20">
        <f t="shared" ca="1" si="0"/>
        <v>-8.3406655565289051E-3</v>
      </c>
      <c r="D19" s="20">
        <f t="shared" ca="1" si="1"/>
        <v>-6.665977078950489E-4</v>
      </c>
    </row>
    <row r="20" spans="2:4" x14ac:dyDescent="0.25">
      <c r="B20" s="12">
        <v>12</v>
      </c>
      <c r="C20" s="20">
        <f t="shared" ca="1" si="0"/>
        <v>-9.3912355719994785E-3</v>
      </c>
      <c r="D20" s="20">
        <f t="shared" ca="1" si="1"/>
        <v>5.224904884384658E-4</v>
      </c>
    </row>
    <row r="21" spans="2:4" x14ac:dyDescent="0.25">
      <c r="B21" s="12">
        <v>13</v>
      </c>
      <c r="C21" s="20">
        <f t="shared" ca="1" si="0"/>
        <v>-1.2280825769291051E-3</v>
      </c>
      <c r="D21" s="20">
        <f t="shared" ca="1" si="1"/>
        <v>9.9926025998835362E-4</v>
      </c>
    </row>
    <row r="22" spans="2:4" x14ac:dyDescent="0.25">
      <c r="B22" s="12">
        <v>14</v>
      </c>
      <c r="C22" s="20">
        <f t="shared" ca="1" si="0"/>
        <v>1.7187688564620433E-2</v>
      </c>
      <c r="D22" s="20">
        <f t="shared" ca="1" si="1"/>
        <v>1.5887484153923827E-3</v>
      </c>
    </row>
    <row r="23" spans="2:4" x14ac:dyDescent="0.25">
      <c r="B23" s="12">
        <v>15</v>
      </c>
      <c r="C23" s="20">
        <f t="shared" ca="1" si="0"/>
        <v>-1.4725430921510539E-2</v>
      </c>
      <c r="D23" s="20">
        <f t="shared" ca="1" si="1"/>
        <v>8.6220355698296159E-3</v>
      </c>
    </row>
    <row r="24" spans="2:4" x14ac:dyDescent="0.25">
      <c r="B24" s="12">
        <v>16</v>
      </c>
      <c r="C24" s="20">
        <f t="shared" ca="1" si="0"/>
        <v>-1.380910407868299E-2</v>
      </c>
      <c r="D24" s="20">
        <f t="shared" ca="1" si="1"/>
        <v>9.6675000639854739E-3</v>
      </c>
    </row>
    <row r="25" spans="2:4" x14ac:dyDescent="0.25">
      <c r="B25" s="12">
        <v>17</v>
      </c>
      <c r="C25" s="20">
        <f t="shared" ca="1" si="0"/>
        <v>9.6675000639854739E-3</v>
      </c>
      <c r="D25" s="20">
        <f t="shared" ca="1" si="1"/>
        <v>1.0390106265415524E-2</v>
      </c>
    </row>
    <row r="26" spans="2:4" x14ac:dyDescent="0.25">
      <c r="B26" s="12">
        <v>18</v>
      </c>
      <c r="C26" s="20">
        <f t="shared" ca="1" si="0"/>
        <v>1.18949963766027E-2</v>
      </c>
      <c r="D26" s="20">
        <f t="shared" ca="1" si="1"/>
        <v>1.18949963766027E-2</v>
      </c>
    </row>
    <row r="27" spans="2:4" x14ac:dyDescent="0.25">
      <c r="B27" s="12">
        <v>19</v>
      </c>
      <c r="C27" s="20">
        <f t="shared" ca="1" si="0"/>
        <v>-5.2627703414215455E-3</v>
      </c>
      <c r="D27" s="20">
        <f t="shared" ca="1" si="1"/>
        <v>1.7187688564620433E-2</v>
      </c>
    </row>
    <row r="28" spans="2:4" x14ac:dyDescent="0.25">
      <c r="B28" s="12">
        <v>20</v>
      </c>
      <c r="C28" s="20">
        <f t="shared" ca="1" si="0"/>
        <v>5.224904884384658E-4</v>
      </c>
      <c r="D28" s="20">
        <f t="shared" ca="1" si="1"/>
        <v>2.0314634821721706E-2</v>
      </c>
    </row>
    <row r="29" spans="2:4" x14ac:dyDescent="0.25">
      <c r="B29" s="12"/>
      <c r="C29" s="19"/>
      <c r="D29" s="19"/>
    </row>
    <row r="30" spans="2:4" x14ac:dyDescent="0.25">
      <c r="B30" s="12"/>
      <c r="C30" s="19"/>
      <c r="D30" s="19"/>
    </row>
    <row r="31" spans="2:4" x14ac:dyDescent="0.25">
      <c r="B31" s="12"/>
      <c r="C31" s="19"/>
      <c r="D31" s="19"/>
    </row>
    <row r="32" spans="2:4" x14ac:dyDescent="0.25">
      <c r="B32" s="12"/>
      <c r="C32" s="19"/>
      <c r="D32" s="19"/>
    </row>
    <row r="33" spans="2:4" x14ac:dyDescent="0.25">
      <c r="B33" s="12"/>
      <c r="C33" s="19"/>
      <c r="D33" s="19"/>
    </row>
    <row r="34" spans="2:4" x14ac:dyDescent="0.25">
      <c r="B34" s="12"/>
      <c r="C34" s="19"/>
      <c r="D34" s="19"/>
    </row>
    <row r="35" spans="2:4" x14ac:dyDescent="0.25">
      <c r="B35" s="12"/>
      <c r="C35" s="19"/>
      <c r="D35" s="19"/>
    </row>
    <row r="36" spans="2:4" x14ac:dyDescent="0.25">
      <c r="B36" s="12"/>
      <c r="C36" s="19"/>
      <c r="D36" s="19"/>
    </row>
    <row r="37" spans="2:4" x14ac:dyDescent="0.25">
      <c r="B37" s="12"/>
      <c r="C37" s="19"/>
      <c r="D37" s="19"/>
    </row>
    <row r="38" spans="2:4" x14ac:dyDescent="0.25">
      <c r="B38" s="12"/>
      <c r="C38" s="19"/>
      <c r="D38" s="19"/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T27"/>
  <sheetViews>
    <sheetView showGridLines="0" zoomScale="90" zoomScaleNormal="90" workbookViewId="0">
      <selection activeCell="B2" sqref="B2"/>
    </sheetView>
  </sheetViews>
  <sheetFormatPr defaultColWidth="9.140625" defaultRowHeight="15.75" x14ac:dyDescent="0.25"/>
  <cols>
    <col min="1" max="1" width="5.28515625" style="23" customWidth="1"/>
    <col min="2" max="2" width="4" style="23" customWidth="1"/>
    <col min="3" max="3" width="4.7109375" style="22" customWidth="1"/>
    <col min="4" max="4" width="1.7109375" style="23" customWidth="1"/>
    <col min="5" max="5" width="3.7109375" style="23" customWidth="1"/>
    <col min="6" max="6" width="28.7109375" style="23" customWidth="1"/>
    <col min="7" max="7" width="12.28515625" style="27" bestFit="1" customWidth="1"/>
    <col min="8" max="8" width="9.140625" style="23"/>
    <col min="9" max="9" width="5.140625" style="24" bestFit="1" customWidth="1"/>
    <col min="10" max="10" width="13.28515625" style="23" customWidth="1"/>
    <col min="11" max="11" width="2.5703125" style="23" customWidth="1"/>
    <col min="12" max="12" width="11" style="23" bestFit="1" customWidth="1"/>
    <col min="13" max="13" width="1.85546875" style="23" customWidth="1"/>
    <col min="14" max="14" width="13.5703125" style="23" bestFit="1" customWidth="1"/>
    <col min="15" max="15" width="13.85546875" style="23" customWidth="1"/>
    <col min="16" max="16" width="25.28515625" style="23" customWidth="1"/>
    <col min="17" max="17" width="18.42578125" style="23" customWidth="1"/>
    <col min="18" max="18" width="18.85546875" style="23" customWidth="1"/>
    <col min="19" max="20" width="9.85546875" style="23" bestFit="1" customWidth="1"/>
    <col min="21" max="22" width="9.28515625" style="23" bestFit="1" customWidth="1"/>
    <col min="23" max="16384" width="9.140625" style="23"/>
  </cols>
  <sheetData>
    <row r="2" spans="2:20" s="10" customFormat="1" x14ac:dyDescent="0.25">
      <c r="B2" s="11" t="s">
        <v>93</v>
      </c>
    </row>
    <row r="4" spans="2:20" x14ac:dyDescent="0.25">
      <c r="E4" s="25" t="s">
        <v>48</v>
      </c>
      <c r="F4" s="26"/>
      <c r="G4" s="25"/>
      <c r="I4" s="23"/>
      <c r="J4" s="27" t="s">
        <v>49</v>
      </c>
      <c r="N4" s="28">
        <f>G5</f>
        <v>3.5000000000000003E-2</v>
      </c>
      <c r="O4" s="29"/>
    </row>
    <row r="5" spans="2:20" x14ac:dyDescent="0.25">
      <c r="C5" s="30" t="s">
        <v>50</v>
      </c>
      <c r="D5" s="31"/>
      <c r="E5" s="23" t="s">
        <v>51</v>
      </c>
      <c r="G5" s="32">
        <v>3.5000000000000003E-2</v>
      </c>
      <c r="I5" s="23"/>
      <c r="J5" s="27" t="s">
        <v>52</v>
      </c>
      <c r="N5" s="28">
        <f>G22</f>
        <v>8.6161822140000024E-2</v>
      </c>
      <c r="O5" s="29"/>
    </row>
    <row r="6" spans="2:20" x14ac:dyDescent="0.25">
      <c r="C6" s="30" t="s">
        <v>53</v>
      </c>
      <c r="D6" s="31"/>
      <c r="E6" s="23" t="s">
        <v>54</v>
      </c>
      <c r="G6" s="33">
        <v>0.78290000000000004</v>
      </c>
      <c r="L6" s="34"/>
      <c r="O6" s="35"/>
    </row>
    <row r="7" spans="2:20" x14ac:dyDescent="0.25">
      <c r="D7" s="36"/>
      <c r="F7" s="23" t="s">
        <v>55</v>
      </c>
      <c r="G7" s="37">
        <v>0.06</v>
      </c>
      <c r="J7" s="38" t="s">
        <v>56</v>
      </c>
      <c r="K7" s="38"/>
      <c r="L7" s="38"/>
      <c r="N7" s="38" t="s">
        <v>57</v>
      </c>
      <c r="O7" s="38"/>
    </row>
    <row r="8" spans="2:20" x14ac:dyDescent="0.25">
      <c r="D8" s="36"/>
      <c r="F8" s="23" t="s">
        <v>58</v>
      </c>
      <c r="G8" s="37">
        <v>3.95E-2</v>
      </c>
      <c r="J8" s="34" t="s">
        <v>59</v>
      </c>
      <c r="K8" s="22"/>
      <c r="L8" s="34" t="s">
        <v>60</v>
      </c>
      <c r="N8" s="34" t="s">
        <v>61</v>
      </c>
      <c r="O8" s="34" t="s">
        <v>60</v>
      </c>
    </row>
    <row r="9" spans="2:20" x14ac:dyDescent="0.25">
      <c r="C9" s="30" t="s">
        <v>62</v>
      </c>
      <c r="D9" s="31"/>
      <c r="E9" s="23" t="s">
        <v>63</v>
      </c>
      <c r="G9" s="39">
        <f>G7+G8</f>
        <v>9.9500000000000005E-2</v>
      </c>
      <c r="I9" s="40" t="s">
        <v>64</v>
      </c>
      <c r="J9" s="41" t="s">
        <v>65</v>
      </c>
      <c r="K9" s="22"/>
      <c r="L9" s="41" t="s">
        <v>66</v>
      </c>
      <c r="N9" s="41" t="s">
        <v>67</v>
      </c>
      <c r="O9" s="41" t="s">
        <v>66</v>
      </c>
    </row>
    <row r="10" spans="2:20" x14ac:dyDescent="0.25">
      <c r="C10" s="22" t="s">
        <v>68</v>
      </c>
      <c r="D10" s="36"/>
      <c r="E10" s="23" t="s">
        <v>69</v>
      </c>
      <c r="G10" s="42">
        <f>G5+G6*G9</f>
        <v>0.11289855000000001</v>
      </c>
      <c r="I10" s="24">
        <v>0</v>
      </c>
      <c r="J10" s="43">
        <v>-2000</v>
      </c>
      <c r="K10" s="43"/>
      <c r="L10" s="43">
        <f>J10/(1+$N$5)^I10</f>
        <v>-2000</v>
      </c>
      <c r="N10" s="43">
        <f t="shared" ref="N10:N21" si="0">J10*(1+$N$4)^I10/(1+$N$5)^I10</f>
        <v>-2000</v>
      </c>
      <c r="O10" s="43">
        <f t="shared" ref="O10:O21" si="1">N10/(1+$N$4)^I10</f>
        <v>-2000</v>
      </c>
      <c r="P10" s="44" t="str">
        <f t="shared" ref="P10:P21" si="2">TEXT(N10,"$#,###")&amp;"= "&amp;TEXT(J10,"$#,###")&amp;" * (1+"&amp;TEXT($N$4,"#.00%")&amp;")^"&amp;I10&amp;" / "&amp;"(1+"&amp;TEXT($N$5,"#.00%")&amp;")^"&amp;I10</f>
        <v>-$2,000= -$2,000 * (1+3.50%)^0 / (1+8.62%)^0</v>
      </c>
      <c r="T10" s="29"/>
    </row>
    <row r="11" spans="2:20" x14ac:dyDescent="0.25">
      <c r="D11" s="36"/>
      <c r="I11" s="24">
        <v>1</v>
      </c>
      <c r="J11" s="43">
        <v>-1000</v>
      </c>
      <c r="K11" s="43"/>
      <c r="L11" s="43">
        <f t="shared" ref="L11:L21" si="3">J11/(1+$N$5)^I11</f>
        <v>-920.67312587894082</v>
      </c>
      <c r="N11" s="43">
        <f t="shared" si="0"/>
        <v>-952.89668528470384</v>
      </c>
      <c r="O11" s="43">
        <f t="shared" si="1"/>
        <v>-920.67312587894094</v>
      </c>
      <c r="P11" s="44" t="str">
        <f t="shared" si="2"/>
        <v>-$953= -$1,000 * (1+3.50%)^1 / (1+8.62%)^1</v>
      </c>
      <c r="T11" s="29"/>
    </row>
    <row r="12" spans="2:20" x14ac:dyDescent="0.25">
      <c r="D12" s="36"/>
      <c r="F12" s="23" t="s">
        <v>70</v>
      </c>
      <c r="G12" s="45">
        <f>G5</f>
        <v>3.5000000000000003E-2</v>
      </c>
      <c r="I12" s="24">
        <v>2</v>
      </c>
      <c r="J12" s="43">
        <v>-860</v>
      </c>
      <c r="K12" s="43"/>
      <c r="L12" s="43">
        <f t="shared" si="3"/>
        <v>-728.96954405550196</v>
      </c>
      <c r="N12" s="43">
        <f t="shared" si="0"/>
        <v>-780.89039983085502</v>
      </c>
      <c r="O12" s="43">
        <f t="shared" si="1"/>
        <v>-728.96954405550196</v>
      </c>
      <c r="P12" s="44" t="str">
        <f t="shared" si="2"/>
        <v>-$781= -$860 * (1+3.50%)^2 / (1+8.62%)^2</v>
      </c>
      <c r="T12" s="29"/>
    </row>
    <row r="13" spans="2:20" x14ac:dyDescent="0.25">
      <c r="D13" s="36"/>
      <c r="F13" s="23" t="s">
        <v>71</v>
      </c>
      <c r="G13" s="32">
        <v>2.5000000000000001E-2</v>
      </c>
      <c r="I13" s="24">
        <v>3</v>
      </c>
      <c r="J13" s="43">
        <v>-270</v>
      </c>
      <c r="K13" s="43"/>
      <c r="L13" s="43">
        <f t="shared" si="3"/>
        <v>-210.70758206389979</v>
      </c>
      <c r="N13" s="43">
        <f t="shared" si="0"/>
        <v>-233.61526263227506</v>
      </c>
      <c r="O13" s="43">
        <f t="shared" si="1"/>
        <v>-210.70758206389982</v>
      </c>
      <c r="P13" s="44" t="str">
        <f t="shared" si="2"/>
        <v>-$234= -$270 * (1+3.50%)^3 / (1+8.62%)^3</v>
      </c>
    </row>
    <row r="14" spans="2:20" x14ac:dyDescent="0.25">
      <c r="C14" s="22" t="s">
        <v>72</v>
      </c>
      <c r="D14" s="36"/>
      <c r="E14" s="23" t="s">
        <v>73</v>
      </c>
      <c r="G14" s="46">
        <f>G12+G13</f>
        <v>6.0000000000000005E-2</v>
      </c>
      <c r="I14" s="24">
        <v>4</v>
      </c>
      <c r="J14" s="43">
        <v>332</v>
      </c>
      <c r="K14" s="43"/>
      <c r="L14" s="43">
        <f t="shared" si="3"/>
        <v>238.53930492872027</v>
      </c>
      <c r="N14" s="43">
        <f t="shared" si="0"/>
        <v>273.72933895880681</v>
      </c>
      <c r="O14" s="43">
        <f t="shared" si="1"/>
        <v>238.53930492872021</v>
      </c>
      <c r="P14" s="44" t="str">
        <f t="shared" si="2"/>
        <v>$274= $332 * (1+3.50%)^4 / (1+8.62%)^4</v>
      </c>
    </row>
    <row r="15" spans="2:20" x14ac:dyDescent="0.25">
      <c r="C15" s="22" t="s">
        <v>74</v>
      </c>
      <c r="D15" s="36"/>
      <c r="E15" s="23" t="s">
        <v>75</v>
      </c>
      <c r="G15" s="47">
        <v>0.38</v>
      </c>
      <c r="I15" s="24">
        <v>5</v>
      </c>
      <c r="J15" s="43">
        <v>453</v>
      </c>
      <c r="K15" s="43"/>
      <c r="L15" s="43">
        <f t="shared" si="3"/>
        <v>299.65776374612284</v>
      </c>
      <c r="N15" s="43">
        <f t="shared" si="0"/>
        <v>355.89942238203651</v>
      </c>
      <c r="O15" s="43">
        <f t="shared" si="1"/>
        <v>299.65776374612278</v>
      </c>
      <c r="P15" s="44" t="str">
        <f t="shared" si="2"/>
        <v>$356= $453 * (1+3.50%)^5 / (1+8.62%)^5</v>
      </c>
    </row>
    <row r="16" spans="2:20" x14ac:dyDescent="0.25">
      <c r="C16" s="22" t="s">
        <v>76</v>
      </c>
      <c r="D16" s="36"/>
      <c r="E16" s="23" t="s">
        <v>77</v>
      </c>
      <c r="G16" s="48">
        <f>G14*(1-G15)</f>
        <v>3.7200000000000004E-2</v>
      </c>
      <c r="I16" s="24">
        <v>6</v>
      </c>
      <c r="J16" s="43">
        <v>502</v>
      </c>
      <c r="K16" s="43"/>
      <c r="L16" s="43">
        <f t="shared" si="3"/>
        <v>305.72891549912157</v>
      </c>
      <c r="N16" s="43">
        <f t="shared" si="0"/>
        <v>375.81889779482742</v>
      </c>
      <c r="O16" s="43">
        <f t="shared" si="1"/>
        <v>305.72891549912157</v>
      </c>
      <c r="P16" s="44" t="str">
        <f t="shared" si="2"/>
        <v>$376= $502 * (1+3.50%)^6 / (1+8.62%)^6</v>
      </c>
      <c r="S16" s="49"/>
      <c r="T16" s="49"/>
    </row>
    <row r="17" spans="3:20" x14ac:dyDescent="0.25">
      <c r="D17" s="36"/>
      <c r="F17" s="23" t="s">
        <v>78</v>
      </c>
      <c r="G17" s="48"/>
      <c r="I17" s="24">
        <v>7</v>
      </c>
      <c r="J17" s="43">
        <v>538</v>
      </c>
      <c r="K17" s="43"/>
      <c r="L17" s="43">
        <f t="shared" si="3"/>
        <v>301.66195460485119</v>
      </c>
      <c r="N17" s="43">
        <f t="shared" si="0"/>
        <v>383.79824920938353</v>
      </c>
      <c r="O17" s="43">
        <f t="shared" si="1"/>
        <v>301.66195460485119</v>
      </c>
      <c r="P17" s="44" t="str">
        <f t="shared" si="2"/>
        <v>$384= $538 * (1+3.50%)^7 / (1+8.62%)^7</v>
      </c>
      <c r="S17" s="49"/>
      <c r="T17" s="49"/>
    </row>
    <row r="18" spans="3:20" x14ac:dyDescent="0.25">
      <c r="D18" s="36"/>
      <c r="I18" s="24">
        <v>8</v>
      </c>
      <c r="J18" s="43">
        <v>596</v>
      </c>
      <c r="K18" s="43"/>
      <c r="L18" s="43">
        <f t="shared" si="3"/>
        <v>307.67342863208268</v>
      </c>
      <c r="N18" s="43">
        <f t="shared" si="0"/>
        <v>405.1471512562411</v>
      </c>
      <c r="O18" s="43">
        <f t="shared" si="1"/>
        <v>307.67342863208273</v>
      </c>
      <c r="P18" s="44" t="str">
        <f t="shared" si="2"/>
        <v>$405= $596 * (1+3.50%)^8 / (1+8.62%)^8</v>
      </c>
    </row>
    <row r="19" spans="3:20" x14ac:dyDescent="0.25">
      <c r="C19" s="22" t="s">
        <v>79</v>
      </c>
      <c r="D19" s="36"/>
      <c r="E19" s="23" t="s">
        <v>80</v>
      </c>
      <c r="G19" s="32">
        <v>0.35320000000000001</v>
      </c>
      <c r="I19" s="24">
        <v>9</v>
      </c>
      <c r="J19" s="43">
        <v>660</v>
      </c>
      <c r="K19" s="43"/>
      <c r="L19" s="43">
        <f t="shared" si="3"/>
        <v>313.68455337327168</v>
      </c>
      <c r="N19" s="43">
        <f t="shared" si="0"/>
        <v>427.51984755007436</v>
      </c>
      <c r="O19" s="43">
        <f t="shared" si="1"/>
        <v>313.68455337327168</v>
      </c>
      <c r="P19" s="44" t="str">
        <f t="shared" si="2"/>
        <v>$428= $660 * (1+3.50%)^9 / (1+8.62%)^9</v>
      </c>
    </row>
    <row r="20" spans="3:20" x14ac:dyDescent="0.25">
      <c r="C20" s="22" t="s">
        <v>81</v>
      </c>
      <c r="D20" s="36"/>
      <c r="E20" s="23" t="s">
        <v>82</v>
      </c>
      <c r="G20" s="32">
        <f>1-G19</f>
        <v>0.64680000000000004</v>
      </c>
      <c r="I20" s="24">
        <v>10</v>
      </c>
      <c r="J20" s="43">
        <v>692</v>
      </c>
      <c r="K20" s="43"/>
      <c r="L20" s="43">
        <f t="shared" si="3"/>
        <v>302.80340802958148</v>
      </c>
      <c r="N20" s="43">
        <f t="shared" si="0"/>
        <v>427.13411207837919</v>
      </c>
      <c r="O20" s="43">
        <f t="shared" si="1"/>
        <v>302.80340802958148</v>
      </c>
      <c r="P20" s="44" t="str">
        <f t="shared" si="2"/>
        <v>$427= $692 * (1+3.50%)^10 / (1+8.62%)^10</v>
      </c>
    </row>
    <row r="21" spans="3:20" x14ac:dyDescent="0.25">
      <c r="D21" s="36"/>
      <c r="I21" s="24">
        <v>10</v>
      </c>
      <c r="J21" s="50">
        <v>10669</v>
      </c>
      <c r="K21" s="43"/>
      <c r="L21" s="43">
        <f t="shared" si="3"/>
        <v>4668.5109252422035</v>
      </c>
      <c r="N21" s="43">
        <f t="shared" si="0"/>
        <v>6585.3957250928152</v>
      </c>
      <c r="O21" s="43">
        <f t="shared" si="1"/>
        <v>4668.5109252422035</v>
      </c>
      <c r="P21" s="44" t="str">
        <f t="shared" si="2"/>
        <v>$6,585= $10,669 * (1+3.50%)^10 / (1+8.62%)^10</v>
      </c>
    </row>
    <row r="22" spans="3:20" x14ac:dyDescent="0.25">
      <c r="C22" s="22" t="s">
        <v>83</v>
      </c>
      <c r="D22" s="36"/>
      <c r="E22" s="23" t="s">
        <v>84</v>
      </c>
      <c r="G22" s="51">
        <f>G10*G20+G16*G19</f>
        <v>8.6161822140000024E-2</v>
      </c>
      <c r="I22" s="23"/>
      <c r="J22" s="34" t="s">
        <v>85</v>
      </c>
      <c r="L22" s="52">
        <f>SUM(L10:L21)</f>
        <v>2877.9100020576125</v>
      </c>
      <c r="N22" s="34" t="s">
        <v>86</v>
      </c>
      <c r="O22" s="52">
        <f>SUM(O10:O21)</f>
        <v>2877.9100020576125</v>
      </c>
    </row>
    <row r="23" spans="3:20" x14ac:dyDescent="0.25">
      <c r="F23" s="23" t="s">
        <v>87</v>
      </c>
    </row>
    <row r="27" spans="3:20" x14ac:dyDescent="0.25">
      <c r="G27" s="53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T27"/>
  <sheetViews>
    <sheetView showGridLines="0" zoomScale="90" zoomScaleNormal="90" workbookViewId="0"/>
  </sheetViews>
  <sheetFormatPr defaultColWidth="9.140625" defaultRowHeight="15.75" x14ac:dyDescent="0.25"/>
  <cols>
    <col min="1" max="1" width="5.28515625" style="23" customWidth="1"/>
    <col min="2" max="2" width="4" style="23" customWidth="1"/>
    <col min="3" max="3" width="4.7109375" style="22" customWidth="1"/>
    <col min="4" max="4" width="1.7109375" style="23" customWidth="1"/>
    <col min="5" max="5" width="3.7109375" style="23" customWidth="1"/>
    <col min="6" max="6" width="28.7109375" style="23" customWidth="1"/>
    <col min="7" max="7" width="12.28515625" style="27" bestFit="1" customWidth="1"/>
    <col min="8" max="8" width="9.140625" style="23"/>
    <col min="9" max="9" width="5.140625" style="24" bestFit="1" customWidth="1"/>
    <col min="10" max="10" width="13.28515625" style="23" customWidth="1"/>
    <col min="11" max="11" width="2.5703125" style="23" customWidth="1"/>
    <col min="12" max="12" width="11" style="23" bestFit="1" customWidth="1"/>
    <col min="13" max="13" width="1.85546875" style="23" customWidth="1"/>
    <col min="14" max="14" width="13.5703125" style="23" bestFit="1" customWidth="1"/>
    <col min="15" max="15" width="13.85546875" style="23" customWidth="1"/>
    <col min="16" max="16" width="25.28515625" style="23" customWidth="1"/>
    <col min="17" max="17" width="12.5703125" style="23" customWidth="1"/>
    <col min="18" max="18" width="18.85546875" style="23" customWidth="1"/>
    <col min="19" max="20" width="9.85546875" style="23" bestFit="1" customWidth="1"/>
    <col min="21" max="22" width="9.28515625" style="23" bestFit="1" customWidth="1"/>
    <col min="23" max="16384" width="9.140625" style="23"/>
  </cols>
  <sheetData>
    <row r="2" spans="1:20" s="10" customFormat="1" x14ac:dyDescent="0.25">
      <c r="A2" s="11"/>
      <c r="B2" s="11" t="s">
        <v>94</v>
      </c>
    </row>
    <row r="4" spans="1:20" x14ac:dyDescent="0.25">
      <c r="E4" s="25" t="s">
        <v>48</v>
      </c>
      <c r="F4" s="26"/>
      <c r="G4" s="25"/>
      <c r="I4" s="23"/>
      <c r="J4" s="27" t="s">
        <v>49</v>
      </c>
      <c r="N4" s="53">
        <f>G5</f>
        <v>0.02</v>
      </c>
      <c r="O4" s="29"/>
    </row>
    <row r="5" spans="1:20" x14ac:dyDescent="0.25">
      <c r="C5" s="30" t="s">
        <v>50</v>
      </c>
      <c r="D5" s="31"/>
      <c r="E5" s="23" t="s">
        <v>51</v>
      </c>
      <c r="G5" s="32">
        <v>0.02</v>
      </c>
      <c r="I5" s="23"/>
      <c r="J5" s="27" t="s">
        <v>52</v>
      </c>
      <c r="N5" s="53">
        <f>G22</f>
        <v>9.8599999999999993E-2</v>
      </c>
      <c r="O5" s="29"/>
    </row>
    <row r="6" spans="1:20" x14ac:dyDescent="0.25">
      <c r="C6" s="30" t="s">
        <v>53</v>
      </c>
      <c r="D6" s="31"/>
      <c r="E6" s="23" t="s">
        <v>54</v>
      </c>
      <c r="G6" s="54">
        <v>1.2</v>
      </c>
      <c r="L6" s="34"/>
      <c r="O6" s="35"/>
    </row>
    <row r="7" spans="1:20" x14ac:dyDescent="0.25">
      <c r="D7" s="36"/>
      <c r="F7" s="23" t="s">
        <v>55</v>
      </c>
      <c r="G7" s="37"/>
      <c r="J7" s="38" t="s">
        <v>56</v>
      </c>
      <c r="K7" s="38"/>
      <c r="L7" s="38"/>
      <c r="N7" s="38" t="s">
        <v>57</v>
      </c>
      <c r="O7" s="38"/>
    </row>
    <row r="8" spans="1:20" x14ac:dyDescent="0.25">
      <c r="D8" s="36"/>
      <c r="F8" s="23" t="s">
        <v>58</v>
      </c>
      <c r="G8" s="37"/>
      <c r="J8" s="34" t="s">
        <v>59</v>
      </c>
      <c r="K8" s="22"/>
      <c r="L8" s="34" t="s">
        <v>60</v>
      </c>
      <c r="N8" s="34" t="s">
        <v>61</v>
      </c>
      <c r="O8" s="34" t="s">
        <v>60</v>
      </c>
    </row>
    <row r="9" spans="1:20" x14ac:dyDescent="0.25">
      <c r="C9" s="30" t="s">
        <v>62</v>
      </c>
      <c r="D9" s="31"/>
      <c r="E9" s="23" t="s">
        <v>63</v>
      </c>
      <c r="G9" s="39">
        <v>0.09</v>
      </c>
      <c r="I9" s="40" t="s">
        <v>64</v>
      </c>
      <c r="J9" s="41" t="s">
        <v>65</v>
      </c>
      <c r="K9" s="22"/>
      <c r="L9" s="41" t="s">
        <v>66</v>
      </c>
      <c r="N9" s="41" t="s">
        <v>67</v>
      </c>
      <c r="O9" s="41" t="s">
        <v>66</v>
      </c>
    </row>
    <row r="10" spans="1:20" x14ac:dyDescent="0.25">
      <c r="C10" s="22" t="s">
        <v>68</v>
      </c>
      <c r="D10" s="36"/>
      <c r="E10" s="23" t="s">
        <v>69</v>
      </c>
      <c r="G10" s="42">
        <f>G5+G6*G9</f>
        <v>0.128</v>
      </c>
      <c r="I10" s="24">
        <v>0</v>
      </c>
      <c r="J10" s="43">
        <v>-100</v>
      </c>
      <c r="K10" s="43"/>
      <c r="L10" s="43">
        <f>J10/(1+$N$5)^I10</f>
        <v>-100</v>
      </c>
      <c r="N10" s="43">
        <f>J10*(1+$N$4)^I10/(1+$N$5)^I10</f>
        <v>-100</v>
      </c>
      <c r="O10" s="43">
        <f>N10/(1+$N$4)^I10</f>
        <v>-100</v>
      </c>
      <c r="P10" s="44" t="str">
        <f>TEXT(N10,"$#,###")&amp;"= "&amp;TEXT(J10,"$#,###")&amp;" * (1+"&amp;TEXT($N$4,"#.00%")&amp;")^"&amp;I10&amp;" / "&amp;"(1+"&amp;TEXT($N$5,"#.00%")&amp;")^"&amp;I10</f>
        <v>-$100= -$100 * (1+2.00%)^0 / (1+9.86%)^0</v>
      </c>
      <c r="T10" s="29"/>
    </row>
    <row r="11" spans="1:20" x14ac:dyDescent="0.25">
      <c r="D11" s="36"/>
      <c r="I11" s="24">
        <v>1</v>
      </c>
      <c r="J11" s="43">
        <v>50</v>
      </c>
      <c r="K11" s="43"/>
      <c r="L11" s="43">
        <f>J11/(1+$N$5)^I11</f>
        <v>45.512470416894232</v>
      </c>
      <c r="N11" s="43">
        <f>J11*(1+$N$4)^I11/(1+$N$5)^I11</f>
        <v>46.422719825232114</v>
      </c>
      <c r="O11" s="43">
        <f>N11/(1+$N$4)^I11</f>
        <v>45.512470416894232</v>
      </c>
      <c r="P11" s="44" t="str">
        <f>TEXT(N11,"$#,###")&amp;"= "&amp;TEXT(J11,"$#,###")&amp;" * (1+"&amp;TEXT($N$4,"#.00%")&amp;")^"&amp;I11&amp;" / "&amp;"(1+"&amp;TEXT($N$5,"#.00%")&amp;")^"&amp;I11</f>
        <v>$46= $50 * (1+2.00%)^1 / (1+9.86%)^1</v>
      </c>
      <c r="T11" s="29"/>
    </row>
    <row r="12" spans="1:20" x14ac:dyDescent="0.25">
      <c r="D12" s="36"/>
      <c r="F12" s="23" t="s">
        <v>70</v>
      </c>
      <c r="G12" s="45">
        <f>G5</f>
        <v>0.02</v>
      </c>
      <c r="I12" s="24">
        <v>2</v>
      </c>
      <c r="J12" s="43">
        <v>70</v>
      </c>
      <c r="K12" s="43"/>
      <c r="L12" s="43">
        <f>J12/(1+$N$5)^I12</f>
        <v>57.998778976562825</v>
      </c>
      <c r="N12" s="43">
        <f>J12*(1+$N$4)^I12/(1+$N$5)^I12</f>
        <v>60.341929647215963</v>
      </c>
      <c r="O12" s="43">
        <f>N12/(1+$N$4)^I12</f>
        <v>57.998778976562825</v>
      </c>
      <c r="P12" s="44" t="str">
        <f>TEXT(N12,"$#,###")&amp;"= "&amp;TEXT(J12,"$#,###")&amp;" * (1+"&amp;TEXT($N$4,"#.00%")&amp;")^"&amp;I12&amp;" / "&amp;"(1+"&amp;TEXT($N$5,"#.00%")&amp;")^"&amp;I12</f>
        <v>$60= $70 * (1+2.00%)^2 / (1+9.86%)^2</v>
      </c>
      <c r="T12" s="29"/>
    </row>
    <row r="13" spans="1:20" x14ac:dyDescent="0.25">
      <c r="D13" s="36"/>
      <c r="F13" s="23" t="s">
        <v>71</v>
      </c>
      <c r="G13" s="32">
        <v>0.03</v>
      </c>
      <c r="J13" s="34" t="s">
        <v>85</v>
      </c>
      <c r="L13" s="55">
        <f>SUM(L10:L12)</f>
        <v>3.5112493934570566</v>
      </c>
      <c r="N13" s="34" t="s">
        <v>86</v>
      </c>
      <c r="O13" s="55">
        <f>SUM(O10:O12)</f>
        <v>3.5112493934570566</v>
      </c>
      <c r="P13" s="44"/>
    </row>
    <row r="14" spans="1:20" x14ac:dyDescent="0.25">
      <c r="C14" s="22" t="s">
        <v>72</v>
      </c>
      <c r="D14" s="36"/>
      <c r="E14" s="23" t="s">
        <v>73</v>
      </c>
      <c r="G14" s="46">
        <f>G12+G13</f>
        <v>0.05</v>
      </c>
      <c r="J14" s="43"/>
      <c r="K14" s="43"/>
      <c r="L14" s="43"/>
      <c r="N14" s="43"/>
      <c r="O14" s="43"/>
      <c r="P14" s="44"/>
    </row>
    <row r="15" spans="1:20" x14ac:dyDescent="0.25">
      <c r="C15" s="22" t="s">
        <v>74</v>
      </c>
      <c r="D15" s="36"/>
      <c r="E15" s="23" t="s">
        <v>75</v>
      </c>
      <c r="G15" s="47">
        <v>0.4</v>
      </c>
      <c r="J15" s="43"/>
      <c r="K15" s="43"/>
      <c r="L15" s="43"/>
      <c r="N15" s="43"/>
      <c r="O15" s="43"/>
      <c r="P15" s="44"/>
    </row>
    <row r="16" spans="1:20" x14ac:dyDescent="0.25">
      <c r="C16" s="22" t="s">
        <v>76</v>
      </c>
      <c r="D16" s="36"/>
      <c r="E16" s="23" t="s">
        <v>77</v>
      </c>
      <c r="G16" s="48">
        <f>G14*(1-G15)</f>
        <v>0.03</v>
      </c>
      <c r="J16" s="43"/>
      <c r="K16" s="43"/>
      <c r="L16" s="43"/>
      <c r="N16" s="43"/>
      <c r="O16" s="43"/>
      <c r="P16" s="44"/>
      <c r="S16" s="49"/>
      <c r="T16" s="49"/>
    </row>
    <row r="17" spans="3:20" x14ac:dyDescent="0.25">
      <c r="D17" s="36"/>
      <c r="F17" s="23" t="s">
        <v>78</v>
      </c>
      <c r="G17" s="48"/>
      <c r="J17" s="43"/>
      <c r="K17" s="43"/>
      <c r="L17" s="43"/>
      <c r="N17" s="43"/>
      <c r="O17" s="43"/>
      <c r="P17" s="44"/>
      <c r="S17" s="49"/>
      <c r="T17" s="49"/>
    </row>
    <row r="18" spans="3:20" x14ac:dyDescent="0.25">
      <c r="D18" s="36"/>
      <c r="J18" s="43"/>
      <c r="K18" s="43"/>
      <c r="L18" s="43"/>
      <c r="N18" s="43"/>
      <c r="O18" s="43"/>
      <c r="P18" s="44"/>
    </row>
    <row r="19" spans="3:20" x14ac:dyDescent="0.25">
      <c r="C19" s="22" t="s">
        <v>79</v>
      </c>
      <c r="D19" s="36"/>
      <c r="E19" s="23" t="s">
        <v>80</v>
      </c>
      <c r="G19" s="32">
        <v>0.3</v>
      </c>
      <c r="J19" s="43"/>
      <c r="K19" s="43"/>
      <c r="L19" s="43"/>
      <c r="N19" s="43"/>
      <c r="O19" s="43"/>
      <c r="P19" s="44"/>
    </row>
    <row r="20" spans="3:20" x14ac:dyDescent="0.25">
      <c r="C20" s="22" t="s">
        <v>81</v>
      </c>
      <c r="D20" s="36"/>
      <c r="E20" s="23" t="s">
        <v>82</v>
      </c>
      <c r="G20" s="45">
        <f>1-G19</f>
        <v>0.7</v>
      </c>
      <c r="J20" s="43"/>
      <c r="K20" s="43"/>
      <c r="L20" s="43"/>
      <c r="N20" s="43"/>
      <c r="O20" s="43"/>
      <c r="P20" s="44"/>
    </row>
    <row r="21" spans="3:20" x14ac:dyDescent="0.25">
      <c r="D21" s="36"/>
      <c r="J21" s="50"/>
      <c r="K21" s="43"/>
      <c r="L21" s="43"/>
      <c r="N21" s="43"/>
      <c r="O21" s="43"/>
      <c r="P21" s="44"/>
    </row>
    <row r="22" spans="3:20" x14ac:dyDescent="0.25">
      <c r="C22" s="22" t="s">
        <v>83</v>
      </c>
      <c r="D22" s="36"/>
      <c r="E22" s="23" t="s">
        <v>84</v>
      </c>
      <c r="G22" s="51">
        <f>G10*G20+G16*G19</f>
        <v>9.8599999999999993E-2</v>
      </c>
      <c r="I22" s="23"/>
    </row>
    <row r="23" spans="3:20" x14ac:dyDescent="0.25">
      <c r="F23" s="23" t="s">
        <v>87</v>
      </c>
    </row>
    <row r="27" spans="3:20" x14ac:dyDescent="0.25">
      <c r="G27" s="53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E17"/>
  <sheetViews>
    <sheetView workbookViewId="0">
      <selection sqref="A1:XFD2"/>
    </sheetView>
  </sheetViews>
  <sheetFormatPr defaultRowHeight="15" x14ac:dyDescent="0.25"/>
  <cols>
    <col min="1" max="3" width="9.140625" style="60"/>
    <col min="4" max="4" width="15.28515625" style="60" bestFit="1" customWidth="1"/>
    <col min="5" max="16384" width="9.140625" style="60"/>
  </cols>
  <sheetData>
    <row r="2" spans="2:5" x14ac:dyDescent="0.25">
      <c r="B2" s="56" t="s">
        <v>106</v>
      </c>
    </row>
    <row r="4" spans="2:5" x14ac:dyDescent="0.25">
      <c r="B4" s="60" t="s">
        <v>95</v>
      </c>
      <c r="D4" s="61">
        <v>3.5000000000000003E-2</v>
      </c>
      <c r="E4" s="57">
        <v>0.01</v>
      </c>
    </row>
    <row r="5" spans="2:5" x14ac:dyDescent="0.25">
      <c r="B5" s="60" t="s">
        <v>53</v>
      </c>
      <c r="D5" s="60">
        <v>0.78290000000000004</v>
      </c>
      <c r="E5" s="58">
        <v>0.8</v>
      </c>
    </row>
    <row r="6" spans="2:5" x14ac:dyDescent="0.25">
      <c r="B6" s="60" t="s">
        <v>96</v>
      </c>
      <c r="D6" s="62">
        <f>6%+3.95%</f>
        <v>9.9500000000000005E-2</v>
      </c>
      <c r="E6" s="63">
        <f>6%+3%</f>
        <v>0.09</v>
      </c>
    </row>
    <row r="7" spans="2:5" x14ac:dyDescent="0.25">
      <c r="B7" s="60" t="s">
        <v>97</v>
      </c>
      <c r="D7" s="67">
        <f>D4+D5*D6</f>
        <v>0.11289855000000001</v>
      </c>
      <c r="E7" s="67">
        <f>E4+E5*E6</f>
        <v>8.199999999999999E-2</v>
      </c>
    </row>
    <row r="9" spans="2:5" x14ac:dyDescent="0.25">
      <c r="B9" s="60" t="s">
        <v>98</v>
      </c>
      <c r="D9" s="59">
        <v>0.06</v>
      </c>
      <c r="E9" s="64">
        <v>0.05</v>
      </c>
    </row>
    <row r="10" spans="2:5" x14ac:dyDescent="0.25">
      <c r="B10" s="60" t="s">
        <v>99</v>
      </c>
      <c r="D10" s="65">
        <v>0.38</v>
      </c>
      <c r="E10" s="64">
        <v>0</v>
      </c>
    </row>
    <row r="11" spans="2:5" x14ac:dyDescent="0.25">
      <c r="B11" s="60" t="s">
        <v>100</v>
      </c>
      <c r="D11" s="61">
        <v>2.5000000000000001E-2</v>
      </c>
      <c r="E11" s="66">
        <v>0.02</v>
      </c>
    </row>
    <row r="12" spans="2:5" x14ac:dyDescent="0.25">
      <c r="B12" s="60" t="s">
        <v>101</v>
      </c>
      <c r="D12" s="67">
        <f>(D4+D11)*(1-D10)</f>
        <v>3.7200000000000004E-2</v>
      </c>
      <c r="E12" s="67">
        <f>(E4+E11)*(1-E10)</f>
        <v>0.03</v>
      </c>
    </row>
    <row r="14" spans="2:5" x14ac:dyDescent="0.25">
      <c r="B14" s="60" t="s">
        <v>102</v>
      </c>
      <c r="C14" s="60" t="s">
        <v>103</v>
      </c>
      <c r="D14" s="61">
        <v>0.35320000000000001</v>
      </c>
      <c r="E14" s="61">
        <v>0.4</v>
      </c>
    </row>
    <row r="15" spans="2:5" x14ac:dyDescent="0.25">
      <c r="C15" s="60" t="s">
        <v>104</v>
      </c>
      <c r="D15" s="61">
        <f>1-D14</f>
        <v>0.64680000000000004</v>
      </c>
      <c r="E15" s="61">
        <f>1-E14</f>
        <v>0.6</v>
      </c>
    </row>
    <row r="17" spans="2:5" x14ac:dyDescent="0.25">
      <c r="B17" s="60" t="s">
        <v>105</v>
      </c>
      <c r="D17" s="68">
        <f>D7*D15+D12*D14</f>
        <v>8.6161822140000024E-2</v>
      </c>
      <c r="E17" s="68">
        <f>E7*E15+E12*E14</f>
        <v>6.1199999999999991E-2</v>
      </c>
    </row>
  </sheetData>
  <hyperlinks>
    <hyperlink ref="B2" r:id="rId1" xr:uid="{00000000-0004-0000-06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11</vt:i4>
      </vt:variant>
    </vt:vector>
  </HeadingPairs>
  <TitlesOfParts>
    <vt:vector size="18" baseType="lpstr">
      <vt:lpstr>R1-TOC</vt:lpstr>
      <vt:lpstr>T1.1-IntroVar(1and2assets)</vt:lpstr>
      <vt:lpstr>T1.1-autocorrelated-returns</vt:lpstr>
      <vt:lpstr>T1.1-HSVaR</vt:lpstr>
      <vt:lpstr>T1.1.A-WACC</vt:lpstr>
      <vt:lpstr>T1.1.A-WACC-2</vt:lpstr>
      <vt:lpstr>BT 302.1</vt:lpstr>
      <vt:lpstr>___INDEX_SHEET___ASAP_Utilities</vt:lpstr>
      <vt:lpstr>'T1.1-autocorrelated-returns'!autocorrelation</vt:lpstr>
      <vt:lpstr>'T1.1-autocorrelated-returns'!confidence</vt:lpstr>
      <vt:lpstr>confidence</vt:lpstr>
      <vt:lpstr>'T1.1-autocorrelated-returns'!horizon</vt:lpstr>
      <vt:lpstr>n</vt:lpstr>
      <vt:lpstr>'T1.1-autocorrelated-returns'!sigma</vt:lpstr>
      <vt:lpstr>sigma</vt:lpstr>
      <vt:lpstr>'T1.1-autocorrelated-returns'!significance</vt:lpstr>
      <vt:lpstr>significance</vt:lpstr>
      <vt:lpstr>window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David's 5810</dc:creator>
  <cp:lastModifiedBy>james beall</cp:lastModifiedBy>
  <dcterms:created xsi:type="dcterms:W3CDTF">2015-07-10T16:40:52Z</dcterms:created>
  <dcterms:modified xsi:type="dcterms:W3CDTF">2026-03-11T00:29:23Z</dcterms:modified>
</cp:coreProperties>
</file>